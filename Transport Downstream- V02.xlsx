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kshmikantha\Downloads\"/>
    </mc:Choice>
  </mc:AlternateContent>
  <xr:revisionPtr revIDLastSave="0" documentId="13_ncr:1_{79F91513-8C1C-4B94-A3A2-A3C2B5008F87}" xr6:coauthVersionLast="47" xr6:coauthVersionMax="47" xr10:uidLastSave="{00000000-0000-0000-0000-000000000000}"/>
  <bookViews>
    <workbookView xWindow="28680" yWindow="1665" windowWidth="29040" windowHeight="15720" activeTab="2" xr2:uid="{F0C3E92F-52FF-48DA-9218-FAEC1E8AB9BB}"/>
  </bookViews>
  <sheets>
    <sheet name="2021-2023" sheetId="1" r:id="rId1"/>
    <sheet name="2020-2022" sheetId="2" r:id="rId2"/>
    <sheet name="2022-2024" sheetId="3" r:id="rId3"/>
    <sheet name="Sheet1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6" i="3" l="1"/>
  <c r="X125" i="3"/>
  <c r="Y125" i="3" s="1"/>
  <c r="V125" i="3"/>
  <c r="X124" i="3"/>
  <c r="Y124" i="3" s="1"/>
  <c r="V124" i="3"/>
  <c r="X123" i="3"/>
  <c r="Y123" i="3" s="1"/>
  <c r="V123" i="3"/>
  <c r="X122" i="3"/>
  <c r="Y122" i="3" s="1"/>
  <c r="V122" i="3"/>
  <c r="X121" i="3"/>
  <c r="Y121" i="3" s="1"/>
  <c r="V121" i="3"/>
  <c r="X120" i="3"/>
  <c r="Y120" i="3" s="1"/>
  <c r="V120" i="3"/>
  <c r="X119" i="3"/>
  <c r="Y119" i="3" s="1"/>
  <c r="V119" i="3"/>
  <c r="X118" i="3"/>
  <c r="Y118" i="3" s="1"/>
  <c r="V118" i="3"/>
  <c r="X117" i="3"/>
  <c r="Y117" i="3" s="1"/>
  <c r="V117" i="3"/>
  <c r="X116" i="3"/>
  <c r="Y116" i="3" s="1"/>
  <c r="V116" i="3"/>
  <c r="X115" i="3"/>
  <c r="Y115" i="3" s="1"/>
  <c r="V115" i="3"/>
  <c r="X114" i="3"/>
  <c r="Y114" i="3" s="1"/>
  <c r="V114" i="3"/>
  <c r="X113" i="3"/>
  <c r="Y113" i="3" s="1"/>
  <c r="V113" i="3"/>
  <c r="X112" i="3"/>
  <c r="Y112" i="3" s="1"/>
  <c r="V112" i="3"/>
  <c r="X111" i="3"/>
  <c r="Y111" i="3" s="1"/>
  <c r="V111" i="3"/>
  <c r="X110" i="3"/>
  <c r="Y110" i="3" s="1"/>
  <c r="V110" i="3"/>
  <c r="X109" i="3"/>
  <c r="Y109" i="3" s="1"/>
  <c r="V109" i="3"/>
  <c r="X108" i="3"/>
  <c r="Y108" i="3" s="1"/>
  <c r="V108" i="3"/>
  <c r="X107" i="3"/>
  <c r="Y107" i="3" s="1"/>
  <c r="V107" i="3"/>
  <c r="X106" i="3"/>
  <c r="Y106" i="3" s="1"/>
  <c r="V106" i="3"/>
  <c r="X105" i="3"/>
  <c r="Y105" i="3" s="1"/>
  <c r="V105" i="3"/>
  <c r="X104" i="3"/>
  <c r="Y104" i="3" s="1"/>
  <c r="V104" i="3"/>
  <c r="X103" i="3"/>
  <c r="Y103" i="3" s="1"/>
  <c r="V103" i="3"/>
  <c r="X102" i="3"/>
  <c r="Y102" i="3" s="1"/>
  <c r="V102" i="3"/>
  <c r="X101" i="3"/>
  <c r="Y101" i="3" s="1"/>
  <c r="V101" i="3"/>
  <c r="X100" i="3"/>
  <c r="Y100" i="3" s="1"/>
  <c r="V100" i="3"/>
  <c r="X99" i="3"/>
  <c r="Y99" i="3" s="1"/>
  <c r="V99" i="3"/>
  <c r="X98" i="3"/>
  <c r="Y98" i="3" s="1"/>
  <c r="V98" i="3"/>
  <c r="X97" i="3"/>
  <c r="Y97" i="3" s="1"/>
  <c r="V97" i="3"/>
  <c r="X96" i="3"/>
  <c r="Y96" i="3" s="1"/>
  <c r="V96" i="3"/>
  <c r="X95" i="3"/>
  <c r="Y95" i="3" s="1"/>
  <c r="V95" i="3"/>
  <c r="X94" i="3"/>
  <c r="Y94" i="3" s="1"/>
  <c r="V94" i="3"/>
  <c r="X93" i="3"/>
  <c r="Y93" i="3" s="1"/>
  <c r="V93" i="3"/>
  <c r="X92" i="3"/>
  <c r="Y92" i="3" s="1"/>
  <c r="V92" i="3"/>
  <c r="X91" i="3"/>
  <c r="Y91" i="3" s="1"/>
  <c r="V91" i="3"/>
  <c r="X90" i="3"/>
  <c r="Y90" i="3" s="1"/>
  <c r="V90" i="3"/>
  <c r="X89" i="3"/>
  <c r="Y89" i="3" s="1"/>
  <c r="V89" i="3"/>
  <c r="X88" i="3"/>
  <c r="Y88" i="3" s="1"/>
  <c r="V88" i="3"/>
  <c r="X87" i="3"/>
  <c r="Y87" i="3" s="1"/>
  <c r="V87" i="3"/>
  <c r="X86" i="3"/>
  <c r="Y86" i="3" s="1"/>
  <c r="V86" i="3"/>
  <c r="X85" i="3"/>
  <c r="Y85" i="3" s="1"/>
  <c r="V85" i="3"/>
  <c r="AW84" i="3"/>
  <c r="AV84" i="3"/>
  <c r="X84" i="3"/>
  <c r="Y84" i="3" s="1"/>
  <c r="V84" i="3"/>
  <c r="AV83" i="3"/>
  <c r="AW83" i="3" s="1"/>
  <c r="Y83" i="3"/>
  <c r="X83" i="3"/>
  <c r="V83" i="3"/>
  <c r="AW82" i="3"/>
  <c r="AV82" i="3"/>
  <c r="Y82" i="3"/>
  <c r="X82" i="3"/>
  <c r="V82" i="3"/>
  <c r="AV81" i="3"/>
  <c r="AW81" i="3" s="1"/>
  <c r="X81" i="3"/>
  <c r="Y81" i="3" s="1"/>
  <c r="V81" i="3"/>
  <c r="AV80" i="3"/>
  <c r="AW80" i="3" s="1"/>
  <c r="Y80" i="3"/>
  <c r="X80" i="3"/>
  <c r="V80" i="3"/>
  <c r="AV79" i="3"/>
  <c r="AW79" i="3" s="1"/>
  <c r="X79" i="3"/>
  <c r="Y79" i="3" s="1"/>
  <c r="V79" i="3"/>
  <c r="AV78" i="3"/>
  <c r="AW78" i="3" s="1"/>
  <c r="X78" i="3"/>
  <c r="Y78" i="3" s="1"/>
  <c r="V78" i="3"/>
  <c r="AV77" i="3"/>
  <c r="AW77" i="3" s="1"/>
  <c r="X77" i="3"/>
  <c r="Y77" i="3" s="1"/>
  <c r="V77" i="3"/>
  <c r="AV76" i="3"/>
  <c r="AW76" i="3" s="1"/>
  <c r="X76" i="3"/>
  <c r="Y76" i="3" s="1"/>
  <c r="V76" i="3"/>
  <c r="AV75" i="3"/>
  <c r="AW75" i="3" s="1"/>
  <c r="X75" i="3"/>
  <c r="Y75" i="3" s="1"/>
  <c r="V75" i="3"/>
  <c r="AV74" i="3"/>
  <c r="AW74" i="3" s="1"/>
  <c r="X74" i="3"/>
  <c r="Y74" i="3" s="1"/>
  <c r="V74" i="3"/>
  <c r="AV73" i="3"/>
  <c r="AW73" i="3" s="1"/>
  <c r="Y73" i="3"/>
  <c r="X73" i="3"/>
  <c r="V73" i="3"/>
  <c r="AV72" i="3"/>
  <c r="AW72" i="3" s="1"/>
  <c r="X72" i="3"/>
  <c r="Y72" i="3" s="1"/>
  <c r="V72" i="3"/>
  <c r="AV71" i="3"/>
  <c r="AW71" i="3" s="1"/>
  <c r="X71" i="3"/>
  <c r="Y71" i="3" s="1"/>
  <c r="V71" i="3"/>
  <c r="AV70" i="3"/>
  <c r="AW70" i="3" s="1"/>
  <c r="X70" i="3"/>
  <c r="Y70" i="3" s="1"/>
  <c r="V70" i="3"/>
  <c r="AV69" i="3"/>
  <c r="AW69" i="3" s="1"/>
  <c r="X69" i="3"/>
  <c r="Y69" i="3" s="1"/>
  <c r="V69" i="3"/>
  <c r="AV68" i="3"/>
  <c r="AW68" i="3" s="1"/>
  <c r="X68" i="3"/>
  <c r="Y68" i="3" s="1"/>
  <c r="V68" i="3"/>
  <c r="AV67" i="3"/>
  <c r="AW67" i="3" s="1"/>
  <c r="X67" i="3"/>
  <c r="Y67" i="3" s="1"/>
  <c r="V67" i="3"/>
  <c r="AW66" i="3"/>
  <c r="AV66" i="3"/>
  <c r="X66" i="3"/>
  <c r="Y66" i="3" s="1"/>
  <c r="V66" i="3"/>
  <c r="AW65" i="3"/>
  <c r="AV65" i="3"/>
  <c r="X65" i="3"/>
  <c r="Y65" i="3" s="1"/>
  <c r="V65" i="3"/>
  <c r="AV64" i="3"/>
  <c r="AW64" i="3" s="1"/>
  <c r="Y64" i="3"/>
  <c r="X64" i="3"/>
  <c r="V64" i="3"/>
  <c r="AW63" i="3"/>
  <c r="AV63" i="3"/>
  <c r="Y63" i="3"/>
  <c r="X63" i="3"/>
  <c r="V63" i="3"/>
  <c r="AV62" i="3"/>
  <c r="AW62" i="3" s="1"/>
  <c r="X62" i="3"/>
  <c r="Y62" i="3" s="1"/>
  <c r="V62" i="3"/>
  <c r="AV61" i="3"/>
  <c r="AW61" i="3" s="1"/>
  <c r="Y61" i="3"/>
  <c r="X61" i="3"/>
  <c r="V61" i="3"/>
  <c r="AV60" i="3"/>
  <c r="AW60" i="3" s="1"/>
  <c r="X60" i="3"/>
  <c r="Y60" i="3" s="1"/>
  <c r="V60" i="3"/>
  <c r="AV59" i="3"/>
  <c r="AW59" i="3" s="1"/>
  <c r="X59" i="3"/>
  <c r="Y59" i="3" s="1"/>
  <c r="V59" i="3"/>
  <c r="AV58" i="3"/>
  <c r="AW58" i="3" s="1"/>
  <c r="X58" i="3"/>
  <c r="Y58" i="3" s="1"/>
  <c r="V58" i="3"/>
  <c r="AV57" i="3"/>
  <c r="AW57" i="3" s="1"/>
  <c r="X57" i="3"/>
  <c r="Y57" i="3" s="1"/>
  <c r="V57" i="3"/>
  <c r="AV56" i="3"/>
  <c r="AW56" i="3" s="1"/>
  <c r="X56" i="3"/>
  <c r="Y56" i="3" s="1"/>
  <c r="V56" i="3"/>
  <c r="AV55" i="3"/>
  <c r="AW55" i="3" s="1"/>
  <c r="X55" i="3"/>
  <c r="Y55" i="3" s="1"/>
  <c r="V55" i="3"/>
  <c r="AW54" i="3"/>
  <c r="AV54" i="3"/>
  <c r="X54" i="3"/>
  <c r="Y54" i="3" s="1"/>
  <c r="V54" i="3"/>
  <c r="AW53" i="3"/>
  <c r="AV53" i="3"/>
  <c r="X53" i="3"/>
  <c r="Y53" i="3" s="1"/>
  <c r="V53" i="3"/>
  <c r="AV52" i="3"/>
  <c r="AW52" i="3" s="1"/>
  <c r="X52" i="3"/>
  <c r="Y52" i="3" s="1"/>
  <c r="V52" i="3"/>
  <c r="AV51" i="3"/>
  <c r="AW51" i="3" s="1"/>
  <c r="X51" i="3"/>
  <c r="Y51" i="3" s="1"/>
  <c r="V51" i="3"/>
  <c r="AV50" i="3"/>
  <c r="AW50" i="3" s="1"/>
  <c r="X50" i="3"/>
  <c r="Y50" i="3" s="1"/>
  <c r="V50" i="3"/>
  <c r="BG49" i="3"/>
  <c r="AW49" i="3"/>
  <c r="AV49" i="3"/>
  <c r="Y49" i="3"/>
  <c r="X49" i="3"/>
  <c r="V49" i="3"/>
  <c r="H49" i="3"/>
  <c r="G49" i="3"/>
  <c r="D49" i="3"/>
  <c r="AW48" i="3"/>
  <c r="AV48" i="3"/>
  <c r="X48" i="3"/>
  <c r="Y48" i="3" s="1"/>
  <c r="V48" i="3"/>
  <c r="AW47" i="3"/>
  <c r="AV47" i="3"/>
  <c r="X47" i="3"/>
  <c r="Y47" i="3" s="1"/>
  <c r="V47" i="3"/>
  <c r="AV46" i="3"/>
  <c r="AW46" i="3" s="1"/>
  <c r="Y46" i="3"/>
  <c r="X46" i="3"/>
  <c r="V46" i="3"/>
  <c r="AW45" i="3"/>
  <c r="AV45" i="3"/>
  <c r="Y45" i="3"/>
  <c r="X45" i="3"/>
  <c r="V45" i="3"/>
  <c r="AV44" i="3"/>
  <c r="AW44" i="3" s="1"/>
  <c r="X44" i="3"/>
  <c r="Y44" i="3" s="1"/>
  <c r="V44" i="3"/>
  <c r="AV43" i="3"/>
  <c r="AW43" i="3" s="1"/>
  <c r="AK43" i="3"/>
  <c r="AJ43" i="3"/>
  <c r="Y43" i="3"/>
  <c r="X43" i="3"/>
  <c r="V43" i="3"/>
  <c r="AV42" i="3"/>
  <c r="AW42" i="3" s="1"/>
  <c r="AJ42" i="3"/>
  <c r="AK42" i="3" s="1"/>
  <c r="Y42" i="3"/>
  <c r="X42" i="3"/>
  <c r="V42" i="3"/>
  <c r="AW41" i="3"/>
  <c r="AV41" i="3"/>
  <c r="AK41" i="3"/>
  <c r="AJ41" i="3"/>
  <c r="X41" i="3"/>
  <c r="Y41" i="3" s="1"/>
  <c r="V41" i="3"/>
  <c r="AV40" i="3"/>
  <c r="AW40" i="3" s="1"/>
  <c r="AK40" i="3"/>
  <c r="AJ40" i="3"/>
  <c r="X40" i="3"/>
  <c r="Y40" i="3" s="1"/>
  <c r="V40" i="3"/>
  <c r="AW39" i="3"/>
  <c r="AV39" i="3"/>
  <c r="AJ39" i="3"/>
  <c r="AK39" i="3" s="1"/>
  <c r="X39" i="3"/>
  <c r="Y39" i="3" s="1"/>
  <c r="V39" i="3"/>
  <c r="AW38" i="3"/>
  <c r="AV38" i="3"/>
  <c r="AJ38" i="3"/>
  <c r="AK38" i="3" s="1"/>
  <c r="X38" i="3"/>
  <c r="Y38" i="3" s="1"/>
  <c r="V38" i="3"/>
  <c r="AV37" i="3"/>
  <c r="AW37" i="3" s="1"/>
  <c r="AJ37" i="3"/>
  <c r="AK37" i="3" s="1"/>
  <c r="X37" i="3"/>
  <c r="Y37" i="3" s="1"/>
  <c r="V37" i="3"/>
  <c r="AV36" i="3"/>
  <c r="AW36" i="3" s="1"/>
  <c r="AJ36" i="3"/>
  <c r="AK36" i="3" s="1"/>
  <c r="X36" i="3"/>
  <c r="Y36" i="3" s="1"/>
  <c r="V36" i="3"/>
  <c r="AV35" i="3"/>
  <c r="AW35" i="3" s="1"/>
  <c r="AJ35" i="3"/>
  <c r="AK35" i="3" s="1"/>
  <c r="X35" i="3"/>
  <c r="Y35" i="3" s="1"/>
  <c r="V35" i="3"/>
  <c r="AV34" i="3"/>
  <c r="AW34" i="3" s="1"/>
  <c r="AJ34" i="3"/>
  <c r="AK34" i="3" s="1"/>
  <c r="X34" i="3"/>
  <c r="Y34" i="3" s="1"/>
  <c r="V34" i="3"/>
  <c r="AV33" i="3"/>
  <c r="AW33" i="3" s="1"/>
  <c r="AJ33" i="3"/>
  <c r="AK33" i="3" s="1"/>
  <c r="Y33" i="3"/>
  <c r="X33" i="3"/>
  <c r="V33" i="3"/>
  <c r="AV32" i="3"/>
  <c r="AW32" i="3" s="1"/>
  <c r="AJ32" i="3"/>
  <c r="AK32" i="3" s="1"/>
  <c r="X32" i="3"/>
  <c r="Y32" i="3" s="1"/>
  <c r="V32" i="3"/>
  <c r="AV31" i="3"/>
  <c r="AW31" i="3" s="1"/>
  <c r="AK31" i="3"/>
  <c r="AJ31" i="3"/>
  <c r="Y31" i="3"/>
  <c r="X31" i="3"/>
  <c r="V31" i="3"/>
  <c r="AV30" i="3"/>
  <c r="AW30" i="3" s="1"/>
  <c r="AJ30" i="3"/>
  <c r="AK30" i="3" s="1"/>
  <c r="Y30" i="3"/>
  <c r="X30" i="3"/>
  <c r="V30" i="3"/>
  <c r="AW29" i="3"/>
  <c r="AV29" i="3"/>
  <c r="AK29" i="3"/>
  <c r="AJ29" i="3"/>
  <c r="X29" i="3"/>
  <c r="Y29" i="3" s="1"/>
  <c r="V29" i="3"/>
  <c r="AV28" i="3"/>
  <c r="AW28" i="3" s="1"/>
  <c r="AK28" i="3"/>
  <c r="AJ28" i="3"/>
  <c r="X28" i="3"/>
  <c r="Y28" i="3" s="1"/>
  <c r="V28" i="3"/>
  <c r="AW27" i="3"/>
  <c r="AV27" i="3"/>
  <c r="AJ27" i="3"/>
  <c r="AK27" i="3" s="1"/>
  <c r="X27" i="3"/>
  <c r="Y27" i="3" s="1"/>
  <c r="V27" i="3"/>
  <c r="AW26" i="3"/>
  <c r="AV26" i="3"/>
  <c r="AJ26" i="3"/>
  <c r="AK26" i="3" s="1"/>
  <c r="X26" i="3"/>
  <c r="Y26" i="3" s="1"/>
  <c r="V26" i="3"/>
  <c r="AV25" i="3"/>
  <c r="AW25" i="3" s="1"/>
  <c r="AJ25" i="3"/>
  <c r="AK25" i="3" s="1"/>
  <c r="X25" i="3"/>
  <c r="Y25" i="3" s="1"/>
  <c r="V25" i="3"/>
  <c r="AV24" i="3"/>
  <c r="AW24" i="3" s="1"/>
  <c r="AJ24" i="3"/>
  <c r="AK24" i="3" s="1"/>
  <c r="X24" i="3"/>
  <c r="Y24" i="3" s="1"/>
  <c r="V24" i="3"/>
  <c r="AV23" i="3"/>
  <c r="AW23" i="3" s="1"/>
  <c r="AJ23" i="3"/>
  <c r="AK23" i="3" s="1"/>
  <c r="X23" i="3"/>
  <c r="Y23" i="3" s="1"/>
  <c r="V23" i="3"/>
  <c r="AV22" i="3"/>
  <c r="AW22" i="3" s="1"/>
  <c r="AJ22" i="3"/>
  <c r="AK22" i="3" s="1"/>
  <c r="X22" i="3"/>
  <c r="Y22" i="3" s="1"/>
  <c r="V22" i="3"/>
  <c r="AV21" i="3"/>
  <c r="AW21" i="3" s="1"/>
  <c r="AJ21" i="3"/>
  <c r="AK21" i="3" s="1"/>
  <c r="Y21" i="3"/>
  <c r="X21" i="3"/>
  <c r="V21" i="3"/>
  <c r="AV20" i="3"/>
  <c r="AW20" i="3" s="1"/>
  <c r="AJ20" i="3"/>
  <c r="AK20" i="3" s="1"/>
  <c r="X20" i="3"/>
  <c r="Y20" i="3" s="1"/>
  <c r="V20" i="3"/>
  <c r="AV19" i="3"/>
  <c r="AW19" i="3" s="1"/>
  <c r="AK19" i="3"/>
  <c r="AJ19" i="3"/>
  <c r="Y19" i="3"/>
  <c r="X19" i="3"/>
  <c r="V19" i="3"/>
  <c r="AV18" i="3"/>
  <c r="AW18" i="3" s="1"/>
  <c r="AJ18" i="3"/>
  <c r="AK18" i="3" s="1"/>
  <c r="Y18" i="3"/>
  <c r="X18" i="3"/>
  <c r="V18" i="3"/>
  <c r="AW17" i="3"/>
  <c r="AV17" i="3"/>
  <c r="AK17" i="3"/>
  <c r="AJ17" i="3"/>
  <c r="X17" i="3"/>
  <c r="Y17" i="3" s="1"/>
  <c r="V17" i="3"/>
  <c r="AV16" i="3"/>
  <c r="AW16" i="3" s="1"/>
  <c r="AK16" i="3"/>
  <c r="AJ16" i="3"/>
  <c r="X16" i="3"/>
  <c r="Y16" i="3" s="1"/>
  <c r="V16" i="3"/>
  <c r="AW15" i="3"/>
  <c r="AV15" i="3"/>
  <c r="AJ15" i="3"/>
  <c r="AK15" i="3" s="1"/>
  <c r="X15" i="3"/>
  <c r="Y15" i="3" s="1"/>
  <c r="V15" i="3"/>
  <c r="AW14" i="3"/>
  <c r="AV14" i="3"/>
  <c r="AJ14" i="3"/>
  <c r="AK14" i="3" s="1"/>
  <c r="X14" i="3"/>
  <c r="Y14" i="3" s="1"/>
  <c r="V14" i="3"/>
  <c r="AV13" i="3"/>
  <c r="AW13" i="3" s="1"/>
  <c r="AJ13" i="3"/>
  <c r="AK13" i="3" s="1"/>
  <c r="X13" i="3"/>
  <c r="Y13" i="3" s="1"/>
  <c r="V13" i="3"/>
  <c r="K13" i="3"/>
  <c r="L13" i="3" s="1"/>
  <c r="I13" i="3"/>
  <c r="AW12" i="3"/>
  <c r="AV12" i="3"/>
  <c r="AJ12" i="3"/>
  <c r="AK12" i="3" s="1"/>
  <c r="X12" i="3"/>
  <c r="Y12" i="3" s="1"/>
  <c r="V12" i="3"/>
  <c r="L12" i="3"/>
  <c r="K12" i="3"/>
  <c r="I12" i="3"/>
  <c r="AW11" i="3"/>
  <c r="AV11" i="3"/>
  <c r="AK11" i="3"/>
  <c r="AJ11" i="3"/>
  <c r="X11" i="3"/>
  <c r="Y11" i="3" s="1"/>
  <c r="V11" i="3"/>
  <c r="K11" i="3"/>
  <c r="L11" i="3" s="1"/>
  <c r="I11" i="3"/>
  <c r="AV10" i="3"/>
  <c r="AW10" i="3" s="1"/>
  <c r="AK10" i="3"/>
  <c r="AJ10" i="3"/>
  <c r="Y10" i="3"/>
  <c r="X10" i="3"/>
  <c r="V10" i="3"/>
  <c r="K10" i="3"/>
  <c r="L10" i="3" s="1"/>
  <c r="I10" i="3"/>
  <c r="AV9" i="3"/>
  <c r="AW9" i="3" s="1"/>
  <c r="AJ9" i="3"/>
  <c r="AK9" i="3" s="1"/>
  <c r="Y9" i="3"/>
  <c r="X9" i="3"/>
  <c r="V9" i="3"/>
  <c r="K9" i="3"/>
  <c r="L9" i="3" s="1"/>
  <c r="I9" i="3"/>
  <c r="AV8" i="3"/>
  <c r="AW8" i="3" s="1"/>
  <c r="AJ8" i="3"/>
  <c r="AK8" i="3" s="1"/>
  <c r="X8" i="3"/>
  <c r="Y8" i="3" s="1"/>
  <c r="V8" i="3"/>
  <c r="K8" i="3"/>
  <c r="L8" i="3" s="1"/>
  <c r="I8" i="3"/>
  <c r="AV7" i="3"/>
  <c r="AW7" i="3" s="1"/>
  <c r="AJ7" i="3"/>
  <c r="AK7" i="3" s="1"/>
  <c r="X7" i="3"/>
  <c r="Y7" i="3" s="1"/>
  <c r="V7" i="3"/>
  <c r="K7" i="3"/>
  <c r="L7" i="3" s="1"/>
  <c r="I7" i="3"/>
  <c r="AW6" i="3"/>
  <c r="AV6" i="3"/>
  <c r="AJ6" i="3"/>
  <c r="AK6" i="3" s="1"/>
  <c r="X6" i="3"/>
  <c r="Y6" i="3" s="1"/>
  <c r="V6" i="3"/>
  <c r="L6" i="3"/>
  <c r="K6" i="3"/>
  <c r="I6" i="3"/>
  <c r="AW5" i="3"/>
  <c r="AV5" i="3"/>
  <c r="AK5" i="3"/>
  <c r="AJ5" i="3"/>
  <c r="X5" i="3"/>
  <c r="Y5" i="3" s="1"/>
  <c r="V5" i="3"/>
  <c r="K5" i="3"/>
  <c r="L5" i="3" s="1"/>
  <c r="I5" i="3"/>
  <c r="AV4" i="3"/>
  <c r="AW4" i="3" s="1"/>
  <c r="AK4" i="3"/>
  <c r="AK74" i="3" s="1"/>
  <c r="AJ4" i="3"/>
  <c r="Y4" i="3"/>
  <c r="X4" i="3"/>
  <c r="V4" i="3"/>
  <c r="K4" i="3"/>
  <c r="L4" i="3" s="1"/>
  <c r="I4" i="3"/>
  <c r="AW85" i="3" l="1"/>
  <c r="Y126" i="3"/>
  <c r="L49" i="3"/>
  <c r="D53" i="3" s="1"/>
  <c r="Y83" i="2" l="1"/>
  <c r="X83" i="2"/>
  <c r="X82" i="2"/>
  <c r="Y82" i="2" s="1"/>
  <c r="X81" i="2"/>
  <c r="Y81" i="2" s="1"/>
  <c r="AU80" i="2"/>
  <c r="AT80" i="2"/>
  <c r="AV80" i="2" s="1"/>
  <c r="X80" i="2"/>
  <c r="Y80" i="2" s="1"/>
  <c r="AU79" i="2"/>
  <c r="AT79" i="2"/>
  <c r="AV79" i="2" s="1"/>
  <c r="Y79" i="2"/>
  <c r="X79" i="2"/>
  <c r="AU78" i="2"/>
  <c r="AT78" i="2"/>
  <c r="AV78" i="2" s="1"/>
  <c r="X78" i="2"/>
  <c r="Y78" i="2" s="1"/>
  <c r="AU77" i="2"/>
  <c r="AV77" i="2" s="1"/>
  <c r="AT77" i="2"/>
  <c r="X77" i="2"/>
  <c r="Y77" i="2" s="1"/>
  <c r="AU76" i="2"/>
  <c r="AT76" i="2"/>
  <c r="AV76" i="2" s="1"/>
  <c r="X76" i="2"/>
  <c r="Y76" i="2" s="1"/>
  <c r="AU75" i="2"/>
  <c r="AT75" i="2"/>
  <c r="AV75" i="2" s="1"/>
  <c r="Y75" i="2"/>
  <c r="X75" i="2"/>
  <c r="AU74" i="2"/>
  <c r="AV74" i="2" s="1"/>
  <c r="AT74" i="2"/>
  <c r="X74" i="2"/>
  <c r="Y74" i="2" s="1"/>
  <c r="AU73" i="2"/>
  <c r="AT73" i="2"/>
  <c r="AV73" i="2" s="1"/>
  <c r="AI73" i="2"/>
  <c r="AJ73" i="2" s="1"/>
  <c r="Y73" i="2"/>
  <c r="X73" i="2"/>
  <c r="AV72" i="2"/>
  <c r="AU72" i="2"/>
  <c r="AT72" i="2"/>
  <c r="AI72" i="2"/>
  <c r="AJ72" i="2" s="1"/>
  <c r="X72" i="2"/>
  <c r="Y72" i="2" s="1"/>
  <c r="AU71" i="2"/>
  <c r="AT71" i="2"/>
  <c r="AV71" i="2" s="1"/>
  <c r="AJ71" i="2"/>
  <c r="AI71" i="2"/>
  <c r="Y71" i="2"/>
  <c r="X71" i="2"/>
  <c r="AU70" i="2"/>
  <c r="AT70" i="2"/>
  <c r="AV70" i="2" s="1"/>
  <c r="AI70" i="2"/>
  <c r="AJ70" i="2" s="1"/>
  <c r="X70" i="2"/>
  <c r="Y70" i="2" s="1"/>
  <c r="AV69" i="2"/>
  <c r="AU69" i="2"/>
  <c r="AT69" i="2"/>
  <c r="AJ69" i="2"/>
  <c r="AI69" i="2"/>
  <c r="X69" i="2"/>
  <c r="Y69" i="2" s="1"/>
  <c r="AU68" i="2"/>
  <c r="AT68" i="2"/>
  <c r="AV68" i="2" s="1"/>
  <c r="AI68" i="2"/>
  <c r="AJ68" i="2" s="1"/>
  <c r="Y68" i="2"/>
  <c r="X68" i="2"/>
  <c r="AU67" i="2"/>
  <c r="AV67" i="2" s="1"/>
  <c r="AT67" i="2"/>
  <c r="AI67" i="2"/>
  <c r="AJ67" i="2" s="1"/>
  <c r="X67" i="2"/>
  <c r="Y67" i="2" s="1"/>
  <c r="AU66" i="2"/>
  <c r="AT66" i="2"/>
  <c r="AV66" i="2" s="1"/>
  <c r="AJ66" i="2"/>
  <c r="AI66" i="2"/>
  <c r="X66" i="2"/>
  <c r="Y66" i="2" s="1"/>
  <c r="AU65" i="2"/>
  <c r="AT65" i="2"/>
  <c r="AV65" i="2" s="1"/>
  <c r="AI65" i="2"/>
  <c r="AJ65" i="2" s="1"/>
  <c r="X65" i="2"/>
  <c r="Y65" i="2" s="1"/>
  <c r="AU64" i="2"/>
  <c r="AV64" i="2" s="1"/>
  <c r="AT64" i="2"/>
  <c r="AI64" i="2"/>
  <c r="AJ64" i="2" s="1"/>
  <c r="Y64" i="2"/>
  <c r="X64" i="2"/>
  <c r="AU63" i="2"/>
  <c r="AT63" i="2"/>
  <c r="AV63" i="2" s="1"/>
  <c r="AI63" i="2"/>
  <c r="AJ63" i="2" s="1"/>
  <c r="X63" i="2"/>
  <c r="Y63" i="2" s="1"/>
  <c r="AU62" i="2"/>
  <c r="AT62" i="2"/>
  <c r="AV62" i="2" s="1"/>
  <c r="AJ62" i="2"/>
  <c r="AI62" i="2"/>
  <c r="X62" i="2"/>
  <c r="Y62" i="2" s="1"/>
  <c r="AU61" i="2"/>
  <c r="AT61" i="2"/>
  <c r="AV61" i="2" s="1"/>
  <c r="AI61" i="2"/>
  <c r="AJ61" i="2" s="1"/>
  <c r="Y61" i="2"/>
  <c r="X61" i="2"/>
  <c r="AV60" i="2"/>
  <c r="AU60" i="2"/>
  <c r="AT60" i="2"/>
  <c r="AI60" i="2"/>
  <c r="AJ60" i="2" s="1"/>
  <c r="X60" i="2"/>
  <c r="Y60" i="2" s="1"/>
  <c r="AU59" i="2"/>
  <c r="AT59" i="2"/>
  <c r="AV59" i="2" s="1"/>
  <c r="AJ59" i="2"/>
  <c r="AI59" i="2"/>
  <c r="Y59" i="2"/>
  <c r="X59" i="2"/>
  <c r="AU58" i="2"/>
  <c r="AT58" i="2"/>
  <c r="AV58" i="2" s="1"/>
  <c r="AI58" i="2"/>
  <c r="AJ58" i="2" s="1"/>
  <c r="X58" i="2"/>
  <c r="Y58" i="2" s="1"/>
  <c r="AV57" i="2"/>
  <c r="AU57" i="2"/>
  <c r="AT57" i="2"/>
  <c r="AJ57" i="2"/>
  <c r="AI57" i="2"/>
  <c r="X57" i="2"/>
  <c r="Y57" i="2" s="1"/>
  <c r="AU56" i="2"/>
  <c r="AT56" i="2"/>
  <c r="AV56" i="2" s="1"/>
  <c r="AI56" i="2"/>
  <c r="AJ56" i="2" s="1"/>
  <c r="Y56" i="2"/>
  <c r="X56" i="2"/>
  <c r="AU55" i="2"/>
  <c r="AV55" i="2" s="1"/>
  <c r="AT55" i="2"/>
  <c r="AI55" i="2"/>
  <c r="AJ55" i="2" s="1"/>
  <c r="X55" i="2"/>
  <c r="Y55" i="2" s="1"/>
  <c r="AU54" i="2"/>
  <c r="AT54" i="2"/>
  <c r="AV54" i="2" s="1"/>
  <c r="AJ54" i="2"/>
  <c r="AI54" i="2"/>
  <c r="X54" i="2"/>
  <c r="Y54" i="2" s="1"/>
  <c r="AV53" i="2"/>
  <c r="AU53" i="2"/>
  <c r="AT53" i="2"/>
  <c r="AI53" i="2"/>
  <c r="AJ53" i="2" s="1"/>
  <c r="X53" i="2"/>
  <c r="Y53" i="2" s="1"/>
  <c r="AV52" i="2"/>
  <c r="AU52" i="2"/>
  <c r="AT52" i="2"/>
  <c r="AJ52" i="2"/>
  <c r="AI52" i="2"/>
  <c r="X52" i="2"/>
  <c r="Y52" i="2" s="1"/>
  <c r="AU51" i="2"/>
  <c r="AT51" i="2"/>
  <c r="AV51" i="2" s="1"/>
  <c r="AI51" i="2"/>
  <c r="AJ51" i="2" s="1"/>
  <c r="Y51" i="2"/>
  <c r="X51" i="2"/>
  <c r="AU50" i="2"/>
  <c r="AV50" i="2" s="1"/>
  <c r="AT50" i="2"/>
  <c r="AI50" i="2"/>
  <c r="AJ50" i="2" s="1"/>
  <c r="X50" i="2"/>
  <c r="Y50" i="2" s="1"/>
  <c r="AU49" i="2"/>
  <c r="AT49" i="2"/>
  <c r="AV49" i="2" s="1"/>
  <c r="AJ49" i="2"/>
  <c r="AI49" i="2"/>
  <c r="Y49" i="2"/>
  <c r="X49" i="2"/>
  <c r="G49" i="2"/>
  <c r="D49" i="2"/>
  <c r="AU48" i="2"/>
  <c r="AT48" i="2"/>
  <c r="AV48" i="2" s="1"/>
  <c r="AJ48" i="2"/>
  <c r="AI48" i="2"/>
  <c r="X48" i="2"/>
  <c r="Y48" i="2" s="1"/>
  <c r="L48" i="2"/>
  <c r="K48" i="2"/>
  <c r="AU47" i="2"/>
  <c r="AT47" i="2"/>
  <c r="AV47" i="2" s="1"/>
  <c r="AI47" i="2"/>
  <c r="AJ47" i="2" s="1"/>
  <c r="X47" i="2"/>
  <c r="Y47" i="2" s="1"/>
  <c r="L47" i="2"/>
  <c r="K47" i="2"/>
  <c r="AV46" i="2"/>
  <c r="AU46" i="2"/>
  <c r="AT46" i="2"/>
  <c r="AI46" i="2"/>
  <c r="AJ46" i="2" s="1"/>
  <c r="X46" i="2"/>
  <c r="Y46" i="2" s="1"/>
  <c r="K46" i="2"/>
  <c r="L46" i="2" s="1"/>
  <c r="AV45" i="2"/>
  <c r="AU45" i="2"/>
  <c r="AT45" i="2"/>
  <c r="AJ45" i="2"/>
  <c r="AI45" i="2"/>
  <c r="X45" i="2"/>
  <c r="Y45" i="2" s="1"/>
  <c r="K45" i="2"/>
  <c r="L45" i="2" s="1"/>
  <c r="AU44" i="2"/>
  <c r="AT44" i="2"/>
  <c r="AV44" i="2" s="1"/>
  <c r="AJ44" i="2"/>
  <c r="AI44" i="2"/>
  <c r="X44" i="2"/>
  <c r="Y44" i="2" s="1"/>
  <c r="L44" i="2"/>
  <c r="K44" i="2"/>
  <c r="AU43" i="2"/>
  <c r="AT43" i="2"/>
  <c r="AV43" i="2" s="1"/>
  <c r="AI43" i="2"/>
  <c r="AJ43" i="2" s="1"/>
  <c r="X43" i="2"/>
  <c r="Y43" i="2" s="1"/>
  <c r="L43" i="2"/>
  <c r="K43" i="2"/>
  <c r="AV42" i="2"/>
  <c r="AU42" i="2"/>
  <c r="AT42" i="2"/>
  <c r="AI42" i="2"/>
  <c r="AJ42" i="2" s="1"/>
  <c r="X42" i="2"/>
  <c r="Y42" i="2" s="1"/>
  <c r="K42" i="2"/>
  <c r="L42" i="2" s="1"/>
  <c r="AV41" i="2"/>
  <c r="AU41" i="2"/>
  <c r="AT41" i="2"/>
  <c r="AJ41" i="2"/>
  <c r="AI41" i="2"/>
  <c r="X41" i="2"/>
  <c r="Y41" i="2" s="1"/>
  <c r="K41" i="2"/>
  <c r="L41" i="2" s="1"/>
  <c r="AU40" i="2"/>
  <c r="AT40" i="2"/>
  <c r="AV40" i="2" s="1"/>
  <c r="AJ40" i="2"/>
  <c r="AI40" i="2"/>
  <c r="X40" i="2"/>
  <c r="Y40" i="2" s="1"/>
  <c r="L40" i="2"/>
  <c r="K40" i="2"/>
  <c r="AU39" i="2"/>
  <c r="AT39" i="2"/>
  <c r="AV39" i="2" s="1"/>
  <c r="AI39" i="2"/>
  <c r="AJ39" i="2" s="1"/>
  <c r="X39" i="2"/>
  <c r="Y39" i="2" s="1"/>
  <c r="L39" i="2"/>
  <c r="K39" i="2"/>
  <c r="AV38" i="2"/>
  <c r="AU38" i="2"/>
  <c r="AT38" i="2"/>
  <c r="AI38" i="2"/>
  <c r="AJ38" i="2" s="1"/>
  <c r="X38" i="2"/>
  <c r="Y38" i="2" s="1"/>
  <c r="K38" i="2"/>
  <c r="H38" i="2"/>
  <c r="L38" i="2" s="1"/>
  <c r="AU37" i="2"/>
  <c r="AT37" i="2"/>
  <c r="AV37" i="2" s="1"/>
  <c r="AJ37" i="2"/>
  <c r="AI37" i="2"/>
  <c r="X37" i="2"/>
  <c r="Y37" i="2" s="1"/>
  <c r="K37" i="2"/>
  <c r="H37" i="2"/>
  <c r="L37" i="2" s="1"/>
  <c r="AU36" i="2"/>
  <c r="AV36" i="2" s="1"/>
  <c r="AT36" i="2"/>
  <c r="AI36" i="2"/>
  <c r="AJ36" i="2" s="1"/>
  <c r="Y36" i="2"/>
  <c r="X36" i="2"/>
  <c r="K36" i="2"/>
  <c r="H36" i="2"/>
  <c r="L36" i="2" s="1"/>
  <c r="AU35" i="2"/>
  <c r="AT35" i="2"/>
  <c r="AV35" i="2" s="1"/>
  <c r="AJ35" i="2"/>
  <c r="AI35" i="2"/>
  <c r="X35" i="2"/>
  <c r="Y35" i="2" s="1"/>
  <c r="L35" i="2"/>
  <c r="K35" i="2"/>
  <c r="H35" i="2"/>
  <c r="AU34" i="2"/>
  <c r="AT34" i="2"/>
  <c r="AV34" i="2" s="1"/>
  <c r="AI34" i="2"/>
  <c r="AJ34" i="2" s="1"/>
  <c r="Y34" i="2"/>
  <c r="X34" i="2"/>
  <c r="K34" i="2"/>
  <c r="L34" i="2" s="1"/>
  <c r="H34" i="2"/>
  <c r="AU33" i="2"/>
  <c r="AT33" i="2"/>
  <c r="AV33" i="2" s="1"/>
  <c r="AI33" i="2"/>
  <c r="AJ33" i="2" s="1"/>
  <c r="X33" i="2"/>
  <c r="Y33" i="2" s="1"/>
  <c r="L33" i="2"/>
  <c r="K33" i="2"/>
  <c r="H33" i="2"/>
  <c r="AV32" i="2"/>
  <c r="AU32" i="2"/>
  <c r="AT32" i="2"/>
  <c r="AI32" i="2"/>
  <c r="AJ32" i="2" s="1"/>
  <c r="X32" i="2"/>
  <c r="Y32" i="2" s="1"/>
  <c r="K32" i="2"/>
  <c r="H32" i="2"/>
  <c r="L32" i="2" s="1"/>
  <c r="AU31" i="2"/>
  <c r="AT31" i="2"/>
  <c r="AV31" i="2" s="1"/>
  <c r="AJ31" i="2"/>
  <c r="AI31" i="2"/>
  <c r="X31" i="2"/>
  <c r="Y31" i="2" s="1"/>
  <c r="K31" i="2"/>
  <c r="H31" i="2"/>
  <c r="L31" i="2" s="1"/>
  <c r="AU30" i="2"/>
  <c r="AV30" i="2" s="1"/>
  <c r="AT30" i="2"/>
  <c r="AI30" i="2"/>
  <c r="AJ30" i="2" s="1"/>
  <c r="Y30" i="2"/>
  <c r="X30" i="2"/>
  <c r="K30" i="2"/>
  <c r="H30" i="2"/>
  <c r="L30" i="2" s="1"/>
  <c r="AU29" i="2"/>
  <c r="AT29" i="2"/>
  <c r="AV29" i="2" s="1"/>
  <c r="AJ29" i="2"/>
  <c r="AI29" i="2"/>
  <c r="X29" i="2"/>
  <c r="Y29" i="2" s="1"/>
  <c r="L29" i="2"/>
  <c r="K29" i="2"/>
  <c r="H29" i="2"/>
  <c r="AU28" i="2"/>
  <c r="AT28" i="2"/>
  <c r="AV28" i="2" s="1"/>
  <c r="AI28" i="2"/>
  <c r="AJ28" i="2" s="1"/>
  <c r="Y28" i="2"/>
  <c r="X28" i="2"/>
  <c r="K28" i="2"/>
  <c r="L28" i="2" s="1"/>
  <c r="H28" i="2"/>
  <c r="AU27" i="2"/>
  <c r="AT27" i="2"/>
  <c r="AV27" i="2" s="1"/>
  <c r="AI27" i="2"/>
  <c r="AJ27" i="2" s="1"/>
  <c r="X27" i="2"/>
  <c r="Y27" i="2" s="1"/>
  <c r="L27" i="2"/>
  <c r="K27" i="2"/>
  <c r="H27" i="2"/>
  <c r="AV26" i="2"/>
  <c r="AU26" i="2"/>
  <c r="AT26" i="2"/>
  <c r="AI26" i="2"/>
  <c r="AJ26" i="2" s="1"/>
  <c r="X26" i="2"/>
  <c r="Y26" i="2" s="1"/>
  <c r="K26" i="2"/>
  <c r="H26" i="2"/>
  <c r="L26" i="2" s="1"/>
  <c r="AU25" i="2"/>
  <c r="AT25" i="2"/>
  <c r="AV25" i="2" s="1"/>
  <c r="AJ25" i="2"/>
  <c r="AI25" i="2"/>
  <c r="X25" i="2"/>
  <c r="Y25" i="2" s="1"/>
  <c r="K25" i="2"/>
  <c r="H25" i="2"/>
  <c r="L25" i="2" s="1"/>
  <c r="AU24" i="2"/>
  <c r="AV24" i="2" s="1"/>
  <c r="AT24" i="2"/>
  <c r="AI24" i="2"/>
  <c r="AJ24" i="2" s="1"/>
  <c r="Y24" i="2"/>
  <c r="X24" i="2"/>
  <c r="K24" i="2"/>
  <c r="H24" i="2"/>
  <c r="L24" i="2" s="1"/>
  <c r="AU23" i="2"/>
  <c r="AT23" i="2"/>
  <c r="AV23" i="2" s="1"/>
  <c r="AJ23" i="2"/>
  <c r="AI23" i="2"/>
  <c r="X23" i="2"/>
  <c r="Y23" i="2" s="1"/>
  <c r="L23" i="2"/>
  <c r="K23" i="2"/>
  <c r="H23" i="2"/>
  <c r="AU22" i="2"/>
  <c r="AT22" i="2"/>
  <c r="AV22" i="2" s="1"/>
  <c r="AI22" i="2"/>
  <c r="AJ22" i="2" s="1"/>
  <c r="Y22" i="2"/>
  <c r="X22" i="2"/>
  <c r="K22" i="2"/>
  <c r="L22" i="2" s="1"/>
  <c r="H22" i="2"/>
  <c r="AU21" i="2"/>
  <c r="AT21" i="2"/>
  <c r="AV21" i="2" s="1"/>
  <c r="AI21" i="2"/>
  <c r="AJ21" i="2" s="1"/>
  <c r="X21" i="2"/>
  <c r="Y21" i="2" s="1"/>
  <c r="L21" i="2"/>
  <c r="K21" i="2"/>
  <c r="H21" i="2"/>
  <c r="AV20" i="2"/>
  <c r="AU20" i="2"/>
  <c r="AT20" i="2"/>
  <c r="AI20" i="2"/>
  <c r="AJ20" i="2" s="1"/>
  <c r="X20" i="2"/>
  <c r="Y20" i="2" s="1"/>
  <c r="K20" i="2"/>
  <c r="H20" i="2"/>
  <c r="L20" i="2" s="1"/>
  <c r="AU19" i="2"/>
  <c r="AT19" i="2"/>
  <c r="AV19" i="2" s="1"/>
  <c r="AJ19" i="2"/>
  <c r="AI19" i="2"/>
  <c r="X19" i="2"/>
  <c r="Y19" i="2" s="1"/>
  <c r="K19" i="2"/>
  <c r="H19" i="2"/>
  <c r="L19" i="2" s="1"/>
  <c r="AU18" i="2"/>
  <c r="AV18" i="2" s="1"/>
  <c r="AT18" i="2"/>
  <c r="AI18" i="2"/>
  <c r="AJ18" i="2" s="1"/>
  <c r="Y18" i="2"/>
  <c r="X18" i="2"/>
  <c r="K18" i="2"/>
  <c r="H18" i="2"/>
  <c r="L18" i="2" s="1"/>
  <c r="AU17" i="2"/>
  <c r="AT17" i="2"/>
  <c r="AV17" i="2" s="1"/>
  <c r="AJ17" i="2"/>
  <c r="AI17" i="2"/>
  <c r="X17" i="2"/>
  <c r="Y17" i="2" s="1"/>
  <c r="L17" i="2"/>
  <c r="K17" i="2"/>
  <c r="H17" i="2"/>
  <c r="AU16" i="2"/>
  <c r="AT16" i="2"/>
  <c r="AV16" i="2" s="1"/>
  <c r="AI16" i="2"/>
  <c r="AJ16" i="2" s="1"/>
  <c r="Y16" i="2"/>
  <c r="X16" i="2"/>
  <c r="K16" i="2"/>
  <c r="L16" i="2" s="1"/>
  <c r="H16" i="2"/>
  <c r="AU15" i="2"/>
  <c r="AT15" i="2"/>
  <c r="AV15" i="2" s="1"/>
  <c r="AI15" i="2"/>
  <c r="AJ15" i="2" s="1"/>
  <c r="X15" i="2"/>
  <c r="Y15" i="2" s="1"/>
  <c r="L15" i="2"/>
  <c r="K15" i="2"/>
  <c r="H15" i="2"/>
  <c r="AV14" i="2"/>
  <c r="AU14" i="2"/>
  <c r="AT14" i="2"/>
  <c r="AI14" i="2"/>
  <c r="AJ14" i="2" s="1"/>
  <c r="X14" i="2"/>
  <c r="Y14" i="2" s="1"/>
  <c r="K14" i="2"/>
  <c r="H14" i="2"/>
  <c r="L14" i="2" s="1"/>
  <c r="AU13" i="2"/>
  <c r="AT13" i="2"/>
  <c r="AV13" i="2" s="1"/>
  <c r="AJ13" i="2"/>
  <c r="AI13" i="2"/>
  <c r="X13" i="2"/>
  <c r="Y13" i="2" s="1"/>
  <c r="K13" i="2"/>
  <c r="H13" i="2"/>
  <c r="L13" i="2" s="1"/>
  <c r="AU12" i="2"/>
  <c r="AV12" i="2" s="1"/>
  <c r="AT12" i="2"/>
  <c r="AI12" i="2"/>
  <c r="AJ12" i="2" s="1"/>
  <c r="Y12" i="2"/>
  <c r="X12" i="2"/>
  <c r="K12" i="2"/>
  <c r="H12" i="2"/>
  <c r="L12" i="2" s="1"/>
  <c r="AU11" i="2"/>
  <c r="AT11" i="2"/>
  <c r="AV11" i="2" s="1"/>
  <c r="AJ11" i="2"/>
  <c r="AI11" i="2"/>
  <c r="X11" i="2"/>
  <c r="Y11" i="2" s="1"/>
  <c r="L11" i="2"/>
  <c r="K11" i="2"/>
  <c r="H11" i="2"/>
  <c r="AU10" i="2"/>
  <c r="AT10" i="2"/>
  <c r="AV10" i="2" s="1"/>
  <c r="AI10" i="2"/>
  <c r="AJ10" i="2" s="1"/>
  <c r="Y10" i="2"/>
  <c r="X10" i="2"/>
  <c r="K10" i="2"/>
  <c r="L10" i="2" s="1"/>
  <c r="H10" i="2"/>
  <c r="AU9" i="2"/>
  <c r="AT9" i="2"/>
  <c r="AV9" i="2" s="1"/>
  <c r="AI9" i="2"/>
  <c r="AJ9" i="2" s="1"/>
  <c r="X9" i="2"/>
  <c r="Y9" i="2" s="1"/>
  <c r="L9" i="2"/>
  <c r="K9" i="2"/>
  <c r="H9" i="2"/>
  <c r="AV8" i="2"/>
  <c r="AU8" i="2"/>
  <c r="AT8" i="2"/>
  <c r="AI8" i="2"/>
  <c r="AJ8" i="2" s="1"/>
  <c r="X8" i="2"/>
  <c r="Y8" i="2" s="1"/>
  <c r="K8" i="2"/>
  <c r="H8" i="2"/>
  <c r="L8" i="2" s="1"/>
  <c r="AU7" i="2"/>
  <c r="AT7" i="2"/>
  <c r="AV7" i="2" s="1"/>
  <c r="AJ7" i="2"/>
  <c r="AI7" i="2"/>
  <c r="X7" i="2"/>
  <c r="Y7" i="2" s="1"/>
  <c r="Y84" i="2" s="1"/>
  <c r="K7" i="2"/>
  <c r="H7" i="2"/>
  <c r="L7" i="2" s="1"/>
  <c r="AU6" i="2"/>
  <c r="AV6" i="2" s="1"/>
  <c r="AT6" i="2"/>
  <c r="AI6" i="2"/>
  <c r="AJ6" i="2" s="1"/>
  <c r="Y6" i="2"/>
  <c r="X6" i="2"/>
  <c r="K6" i="2"/>
  <c r="H6" i="2"/>
  <c r="L6" i="2" s="1"/>
  <c r="BE5" i="2"/>
  <c r="BF5" i="2" s="1"/>
  <c r="AU5" i="2"/>
  <c r="AV5" i="2" s="1"/>
  <c r="AT5" i="2"/>
  <c r="AI5" i="2"/>
  <c r="AJ5" i="2" s="1"/>
  <c r="Y5" i="2"/>
  <c r="X5" i="2"/>
  <c r="K5" i="2"/>
  <c r="H5" i="2"/>
  <c r="L5" i="2" s="1"/>
  <c r="BE4" i="2"/>
  <c r="BF4" i="2" s="1"/>
  <c r="AU4" i="2"/>
  <c r="AV4" i="2" s="1"/>
  <c r="AT4" i="2"/>
  <c r="AT81" i="2" s="1"/>
  <c r="AI4" i="2"/>
  <c r="AJ4" i="2" s="1"/>
  <c r="Y4" i="2"/>
  <c r="X4" i="2"/>
  <c r="K4" i="2"/>
  <c r="H4" i="2"/>
  <c r="H49" i="2" s="1"/>
  <c r="AJ74" i="2" l="1"/>
  <c r="BF49" i="2"/>
  <c r="AV81" i="2"/>
  <c r="L4" i="2"/>
  <c r="L49" i="2" s="1"/>
  <c r="D53" i="2" l="1"/>
  <c r="AV80" i="1" l="1"/>
  <c r="AU80" i="1"/>
  <c r="AT80" i="1"/>
  <c r="AU79" i="1"/>
  <c r="AT79" i="1"/>
  <c r="AV79" i="1" s="1"/>
  <c r="AU78" i="1"/>
  <c r="AT78" i="1"/>
  <c r="AV78" i="1" s="1"/>
  <c r="AV77" i="1"/>
  <c r="AU77" i="1"/>
  <c r="AT77" i="1"/>
  <c r="AV76" i="1"/>
  <c r="AU76" i="1"/>
  <c r="AT76" i="1"/>
  <c r="AU75" i="1"/>
  <c r="AT75" i="1"/>
  <c r="AV75" i="1" s="1"/>
  <c r="AU74" i="1"/>
  <c r="AT74" i="1"/>
  <c r="AV74" i="1" s="1"/>
  <c r="AU73" i="1"/>
  <c r="AT73" i="1"/>
  <c r="AV73" i="1" s="1"/>
  <c r="AI73" i="1"/>
  <c r="AJ73" i="1" s="1"/>
  <c r="AU72" i="1"/>
  <c r="AT72" i="1"/>
  <c r="AV72" i="1" s="1"/>
  <c r="AI72" i="1"/>
  <c r="AJ72" i="1" s="1"/>
  <c r="AU71" i="1"/>
  <c r="AV71" i="1" s="1"/>
  <c r="AT71" i="1"/>
  <c r="AI71" i="1"/>
  <c r="AJ71" i="1" s="1"/>
  <c r="AV70" i="1"/>
  <c r="AU70" i="1"/>
  <c r="AT70" i="1"/>
  <c r="AI70" i="1"/>
  <c r="AJ70" i="1" s="1"/>
  <c r="AU69" i="1"/>
  <c r="AT69" i="1"/>
  <c r="AV69" i="1" s="1"/>
  <c r="AJ69" i="1"/>
  <c r="AI69" i="1"/>
  <c r="AU68" i="1"/>
  <c r="AT68" i="1"/>
  <c r="AV68" i="1" s="1"/>
  <c r="AJ68" i="1"/>
  <c r="AI68" i="1"/>
  <c r="AU67" i="1"/>
  <c r="AT67" i="1"/>
  <c r="AV67" i="1" s="1"/>
  <c r="AI67" i="1"/>
  <c r="AJ67" i="1" s="1"/>
  <c r="AU66" i="1"/>
  <c r="AT66" i="1"/>
  <c r="AV66" i="1" s="1"/>
  <c r="AI66" i="1"/>
  <c r="AJ66" i="1" s="1"/>
  <c r="X66" i="1"/>
  <c r="Y66" i="1" s="1"/>
  <c r="AU65" i="1"/>
  <c r="AT65" i="1"/>
  <c r="AV65" i="1" s="1"/>
  <c r="AI65" i="1"/>
  <c r="AJ65" i="1" s="1"/>
  <c r="X65" i="1"/>
  <c r="Y65" i="1" s="1"/>
  <c r="AV64" i="1"/>
  <c r="AU64" i="1"/>
  <c r="AT64" i="1"/>
  <c r="AI64" i="1"/>
  <c r="AJ64" i="1" s="1"/>
  <c r="X64" i="1"/>
  <c r="Y64" i="1" s="1"/>
  <c r="AU63" i="1"/>
  <c r="AT63" i="1"/>
  <c r="AV63" i="1" s="1"/>
  <c r="AI63" i="1"/>
  <c r="AJ63" i="1" s="1"/>
  <c r="Y63" i="1"/>
  <c r="X63" i="1"/>
  <c r="AV62" i="1"/>
  <c r="AU62" i="1"/>
  <c r="AT62" i="1"/>
  <c r="AI62" i="1"/>
  <c r="AJ62" i="1" s="1"/>
  <c r="X62" i="1"/>
  <c r="Y62" i="1" s="1"/>
  <c r="AV61" i="1"/>
  <c r="AU61" i="1"/>
  <c r="AT61" i="1"/>
  <c r="AJ61" i="1"/>
  <c r="AI61" i="1"/>
  <c r="Y61" i="1"/>
  <c r="X61" i="1"/>
  <c r="AU60" i="1"/>
  <c r="AT60" i="1"/>
  <c r="AV60" i="1" s="1"/>
  <c r="AI60" i="1"/>
  <c r="AJ60" i="1" s="1"/>
  <c r="Y60" i="1"/>
  <c r="X60" i="1"/>
  <c r="AU59" i="1"/>
  <c r="AT59" i="1"/>
  <c r="AV59" i="1" s="1"/>
  <c r="AJ59" i="1"/>
  <c r="AI59" i="1"/>
  <c r="X59" i="1"/>
  <c r="Y59" i="1" s="1"/>
  <c r="AU58" i="1"/>
  <c r="AT58" i="1"/>
  <c r="AV58" i="1" s="1"/>
  <c r="AJ58" i="1"/>
  <c r="AI58" i="1"/>
  <c r="X58" i="1"/>
  <c r="Y58" i="1" s="1"/>
  <c r="AU57" i="1"/>
  <c r="AV57" i="1" s="1"/>
  <c r="AT57" i="1"/>
  <c r="AI57" i="1"/>
  <c r="AJ57" i="1" s="1"/>
  <c r="X57" i="1"/>
  <c r="Y57" i="1" s="1"/>
  <c r="AU56" i="1"/>
  <c r="AV56" i="1" s="1"/>
  <c r="AT56" i="1"/>
  <c r="AI56" i="1"/>
  <c r="AJ56" i="1" s="1"/>
  <c r="X56" i="1"/>
  <c r="Y56" i="1" s="1"/>
  <c r="AU55" i="1"/>
  <c r="AT55" i="1"/>
  <c r="AV55" i="1" s="1"/>
  <c r="AI55" i="1"/>
  <c r="AJ55" i="1" s="1"/>
  <c r="X55" i="1"/>
  <c r="Y55" i="1" s="1"/>
  <c r="AU54" i="1"/>
  <c r="AT54" i="1"/>
  <c r="AV54" i="1" s="1"/>
  <c r="AI54" i="1"/>
  <c r="AJ54" i="1" s="1"/>
  <c r="X54" i="1"/>
  <c r="Y54" i="1" s="1"/>
  <c r="AU53" i="1"/>
  <c r="AT53" i="1"/>
  <c r="AV53" i="1" s="1"/>
  <c r="AI53" i="1"/>
  <c r="AJ53" i="1" s="1"/>
  <c r="X53" i="1"/>
  <c r="Y53" i="1" s="1"/>
  <c r="AU52" i="1"/>
  <c r="AV52" i="1" s="1"/>
  <c r="AT52" i="1"/>
  <c r="AI52" i="1"/>
  <c r="AJ52" i="1" s="1"/>
  <c r="X52" i="1"/>
  <c r="Y52" i="1" s="1"/>
  <c r="AU51" i="1"/>
  <c r="AV51" i="1" s="1"/>
  <c r="AT51" i="1"/>
  <c r="AI51" i="1"/>
  <c r="AJ51" i="1" s="1"/>
  <c r="X51" i="1"/>
  <c r="Y51" i="1" s="1"/>
  <c r="AU50" i="1"/>
  <c r="AT50" i="1"/>
  <c r="AV50" i="1" s="1"/>
  <c r="AI50" i="1"/>
  <c r="AJ50" i="1" s="1"/>
  <c r="X50" i="1"/>
  <c r="Y50" i="1" s="1"/>
  <c r="AU49" i="1"/>
  <c r="AT49" i="1"/>
  <c r="AV49" i="1" s="1"/>
  <c r="AJ49" i="1"/>
  <c r="AI49" i="1"/>
  <c r="X49" i="1"/>
  <c r="Y49" i="1" s="1"/>
  <c r="G49" i="1"/>
  <c r="D49" i="1"/>
  <c r="AU48" i="1"/>
  <c r="AT48" i="1"/>
  <c r="AV48" i="1" s="1"/>
  <c r="AI48" i="1"/>
  <c r="AJ48" i="1" s="1"/>
  <c r="X48" i="1"/>
  <c r="Y48" i="1" s="1"/>
  <c r="K48" i="1"/>
  <c r="L48" i="1" s="1"/>
  <c r="AU47" i="1"/>
  <c r="AT47" i="1"/>
  <c r="AV47" i="1" s="1"/>
  <c r="AJ47" i="1"/>
  <c r="AI47" i="1"/>
  <c r="Y47" i="1"/>
  <c r="X47" i="1"/>
  <c r="L47" i="1"/>
  <c r="K47" i="1"/>
  <c r="AU46" i="1"/>
  <c r="AT46" i="1"/>
  <c r="AV46" i="1" s="1"/>
  <c r="AI46" i="1"/>
  <c r="AJ46" i="1" s="1"/>
  <c r="X46" i="1"/>
  <c r="Y46" i="1" s="1"/>
  <c r="K46" i="1"/>
  <c r="L46" i="1" s="1"/>
  <c r="AU45" i="1"/>
  <c r="AV45" i="1" s="1"/>
  <c r="AT45" i="1"/>
  <c r="AI45" i="1"/>
  <c r="AJ45" i="1" s="1"/>
  <c r="X45" i="1"/>
  <c r="Y45" i="1" s="1"/>
  <c r="K45" i="1"/>
  <c r="L45" i="1" s="1"/>
  <c r="AU44" i="1"/>
  <c r="AT44" i="1"/>
  <c r="AV44" i="1" s="1"/>
  <c r="AI44" i="1"/>
  <c r="AJ44" i="1" s="1"/>
  <c r="X44" i="1"/>
  <c r="Y44" i="1" s="1"/>
  <c r="K44" i="1"/>
  <c r="L44" i="1" s="1"/>
  <c r="AU43" i="1"/>
  <c r="AT43" i="1"/>
  <c r="AV43" i="1" s="1"/>
  <c r="AJ43" i="1"/>
  <c r="AI43" i="1"/>
  <c r="Y43" i="1"/>
  <c r="X43" i="1"/>
  <c r="L43" i="1"/>
  <c r="K43" i="1"/>
  <c r="AU42" i="1"/>
  <c r="AT42" i="1"/>
  <c r="AV42" i="1" s="1"/>
  <c r="AI42" i="1"/>
  <c r="AJ42" i="1" s="1"/>
  <c r="X42" i="1"/>
  <c r="Y42" i="1" s="1"/>
  <c r="K42" i="1"/>
  <c r="L42" i="1" s="1"/>
  <c r="AU41" i="1"/>
  <c r="AV41" i="1" s="1"/>
  <c r="AT41" i="1"/>
  <c r="AI41" i="1"/>
  <c r="AJ41" i="1" s="1"/>
  <c r="X41" i="1"/>
  <c r="Y41" i="1" s="1"/>
  <c r="K41" i="1"/>
  <c r="L41" i="1" s="1"/>
  <c r="AU40" i="1"/>
  <c r="AT40" i="1"/>
  <c r="AV40" i="1" s="1"/>
  <c r="AI40" i="1"/>
  <c r="AJ40" i="1" s="1"/>
  <c r="X40" i="1"/>
  <c r="Y40" i="1" s="1"/>
  <c r="K40" i="1"/>
  <c r="L40" i="1" s="1"/>
  <c r="AU39" i="1"/>
  <c r="AT39" i="1"/>
  <c r="AV39" i="1" s="1"/>
  <c r="AJ39" i="1"/>
  <c r="AI39" i="1"/>
  <c r="Y39" i="1"/>
  <c r="X39" i="1"/>
  <c r="L39" i="1"/>
  <c r="K39" i="1"/>
  <c r="AU38" i="1"/>
  <c r="AT38" i="1"/>
  <c r="AV38" i="1" s="1"/>
  <c r="AI38" i="1"/>
  <c r="AJ38" i="1" s="1"/>
  <c r="X38" i="1"/>
  <c r="Y38" i="1" s="1"/>
  <c r="AU37" i="1"/>
  <c r="AT37" i="1"/>
  <c r="AV37" i="1" s="1"/>
  <c r="AJ37" i="1"/>
  <c r="AI37" i="1"/>
  <c r="X37" i="1"/>
  <c r="Y37" i="1" s="1"/>
  <c r="AU36" i="1"/>
  <c r="AT36" i="1"/>
  <c r="AV36" i="1" s="1"/>
  <c r="AI36" i="1"/>
  <c r="AJ36" i="1" s="1"/>
  <c r="X36" i="1"/>
  <c r="Y36" i="1" s="1"/>
  <c r="AU35" i="1"/>
  <c r="AV35" i="1" s="1"/>
  <c r="AT35" i="1"/>
  <c r="AI35" i="1"/>
  <c r="AJ35" i="1" s="1"/>
  <c r="X35" i="1"/>
  <c r="Y35" i="1" s="1"/>
  <c r="AU34" i="1"/>
  <c r="AT34" i="1"/>
  <c r="AV34" i="1" s="1"/>
  <c r="AI34" i="1"/>
  <c r="AJ34" i="1" s="1"/>
  <c r="X34" i="1"/>
  <c r="Y34" i="1" s="1"/>
  <c r="AU33" i="1"/>
  <c r="AT33" i="1"/>
  <c r="AV33" i="1" s="1"/>
  <c r="AI33" i="1"/>
  <c r="AJ33" i="1" s="1"/>
  <c r="X33" i="1"/>
  <c r="Y33" i="1" s="1"/>
  <c r="AU32" i="1"/>
  <c r="AT32" i="1"/>
  <c r="AV32" i="1" s="1"/>
  <c r="AI32" i="1"/>
  <c r="AJ32" i="1" s="1"/>
  <c r="X32" i="1"/>
  <c r="Y32" i="1" s="1"/>
  <c r="AU31" i="1"/>
  <c r="AT31" i="1"/>
  <c r="AV31" i="1" s="1"/>
  <c r="AI31" i="1"/>
  <c r="AJ31" i="1" s="1"/>
  <c r="Y31" i="1"/>
  <c r="X31" i="1"/>
  <c r="AV30" i="1"/>
  <c r="AU30" i="1"/>
  <c r="AT30" i="1"/>
  <c r="AI30" i="1"/>
  <c r="AJ30" i="1" s="1"/>
  <c r="X30" i="1"/>
  <c r="Y30" i="1" s="1"/>
  <c r="AU29" i="1"/>
  <c r="AT29" i="1"/>
  <c r="AV29" i="1" s="1"/>
  <c r="AJ29" i="1"/>
  <c r="AI29" i="1"/>
  <c r="Y29" i="1"/>
  <c r="X29" i="1"/>
  <c r="AV28" i="1"/>
  <c r="AU28" i="1"/>
  <c r="AT28" i="1"/>
  <c r="AI28" i="1"/>
  <c r="AJ28" i="1" s="1"/>
  <c r="X28" i="1"/>
  <c r="Y28" i="1" s="1"/>
  <c r="AU27" i="1"/>
  <c r="AV27" i="1" s="1"/>
  <c r="AT27" i="1"/>
  <c r="AJ27" i="1"/>
  <c r="AI27" i="1"/>
  <c r="Y27" i="1"/>
  <c r="X27" i="1"/>
  <c r="K27" i="1"/>
  <c r="H27" i="1"/>
  <c r="L27" i="1" s="1"/>
  <c r="AU26" i="1"/>
  <c r="AT26" i="1"/>
  <c r="AV26" i="1" s="1"/>
  <c r="AJ26" i="1"/>
  <c r="AI26" i="1"/>
  <c r="Y26" i="1"/>
  <c r="X26" i="1"/>
  <c r="L26" i="1"/>
  <c r="K26" i="1"/>
  <c r="H26" i="1"/>
  <c r="AU25" i="1"/>
  <c r="AT25" i="1"/>
  <c r="AV25" i="1" s="1"/>
  <c r="AI25" i="1"/>
  <c r="AJ25" i="1" s="1"/>
  <c r="Y25" i="1"/>
  <c r="X25" i="1"/>
  <c r="L25" i="1"/>
  <c r="K25" i="1"/>
  <c r="H25" i="1"/>
  <c r="AU24" i="1"/>
  <c r="AT24" i="1"/>
  <c r="AV24" i="1" s="1"/>
  <c r="AI24" i="1"/>
  <c r="AJ24" i="1" s="1"/>
  <c r="X24" i="1"/>
  <c r="Y24" i="1" s="1"/>
  <c r="K24" i="1"/>
  <c r="H24" i="1"/>
  <c r="L24" i="1" s="1"/>
  <c r="AU23" i="1"/>
  <c r="AV23" i="1" s="1"/>
  <c r="AT23" i="1"/>
  <c r="AI23" i="1"/>
  <c r="AJ23" i="1" s="1"/>
  <c r="X23" i="1"/>
  <c r="Y23" i="1" s="1"/>
  <c r="K23" i="1"/>
  <c r="H23" i="1"/>
  <c r="L23" i="1" s="1"/>
  <c r="AU22" i="1"/>
  <c r="AT22" i="1"/>
  <c r="AV22" i="1" s="1"/>
  <c r="AJ22" i="1"/>
  <c r="AI22" i="1"/>
  <c r="X22" i="1"/>
  <c r="Y22" i="1" s="1"/>
  <c r="K22" i="1"/>
  <c r="H22" i="1"/>
  <c r="L22" i="1" s="1"/>
  <c r="AU21" i="1"/>
  <c r="AV21" i="1" s="1"/>
  <c r="AT21" i="1"/>
  <c r="AJ21" i="1"/>
  <c r="AI21" i="1"/>
  <c r="Y21" i="1"/>
  <c r="X21" i="1"/>
  <c r="K21" i="1"/>
  <c r="H21" i="1"/>
  <c r="L21" i="1" s="1"/>
  <c r="AU20" i="1"/>
  <c r="AT20" i="1"/>
  <c r="AV20" i="1" s="1"/>
  <c r="AJ20" i="1"/>
  <c r="AI20" i="1"/>
  <c r="Y20" i="1"/>
  <c r="X20" i="1"/>
  <c r="L20" i="1"/>
  <c r="K20" i="1"/>
  <c r="H20" i="1"/>
  <c r="AU19" i="1"/>
  <c r="AT19" i="1"/>
  <c r="AV19" i="1" s="1"/>
  <c r="AI19" i="1"/>
  <c r="AJ19" i="1" s="1"/>
  <c r="Y19" i="1"/>
  <c r="X19" i="1"/>
  <c r="L19" i="1"/>
  <c r="K19" i="1"/>
  <c r="H19" i="1"/>
  <c r="AU18" i="1"/>
  <c r="AT18" i="1"/>
  <c r="AV18" i="1" s="1"/>
  <c r="AI18" i="1"/>
  <c r="AJ18" i="1" s="1"/>
  <c r="X18" i="1"/>
  <c r="Y18" i="1" s="1"/>
  <c r="K18" i="1"/>
  <c r="H18" i="1"/>
  <c r="L18" i="1" s="1"/>
  <c r="AU17" i="1"/>
  <c r="AV17" i="1" s="1"/>
  <c r="AT17" i="1"/>
  <c r="AI17" i="1"/>
  <c r="AJ17" i="1" s="1"/>
  <c r="X17" i="1"/>
  <c r="Y17" i="1" s="1"/>
  <c r="K17" i="1"/>
  <c r="H17" i="1"/>
  <c r="L17" i="1" s="1"/>
  <c r="AU16" i="1"/>
  <c r="AT16" i="1"/>
  <c r="AV16" i="1" s="1"/>
  <c r="AJ16" i="1"/>
  <c r="AI16" i="1"/>
  <c r="X16" i="1"/>
  <c r="Y16" i="1" s="1"/>
  <c r="K16" i="1"/>
  <c r="H16" i="1"/>
  <c r="L16" i="1" s="1"/>
  <c r="AU15" i="1"/>
  <c r="AV15" i="1" s="1"/>
  <c r="AT15" i="1"/>
  <c r="AJ15" i="1"/>
  <c r="AI15" i="1"/>
  <c r="Y15" i="1"/>
  <c r="X15" i="1"/>
  <c r="K15" i="1"/>
  <c r="H15" i="1"/>
  <c r="L15" i="1" s="1"/>
  <c r="AU14" i="1"/>
  <c r="AT14" i="1"/>
  <c r="AV14" i="1" s="1"/>
  <c r="AJ14" i="1"/>
  <c r="AI14" i="1"/>
  <c r="Y14" i="1"/>
  <c r="X14" i="1"/>
  <c r="L14" i="1"/>
  <c r="K14" i="1"/>
  <c r="H14" i="1"/>
  <c r="AU13" i="1"/>
  <c r="AT13" i="1"/>
  <c r="AV13" i="1" s="1"/>
  <c r="AI13" i="1"/>
  <c r="AJ13" i="1" s="1"/>
  <c r="Y13" i="1"/>
  <c r="X13" i="1"/>
  <c r="L13" i="1"/>
  <c r="K13" i="1"/>
  <c r="H13" i="1"/>
  <c r="AU12" i="1"/>
  <c r="AT12" i="1"/>
  <c r="AV12" i="1" s="1"/>
  <c r="AI12" i="1"/>
  <c r="AJ12" i="1" s="1"/>
  <c r="X12" i="1"/>
  <c r="Y12" i="1" s="1"/>
  <c r="K12" i="1"/>
  <c r="H12" i="1"/>
  <c r="L12" i="1" s="1"/>
  <c r="AU11" i="1"/>
  <c r="AV11" i="1" s="1"/>
  <c r="AT11" i="1"/>
  <c r="AI11" i="1"/>
  <c r="AJ11" i="1" s="1"/>
  <c r="X11" i="1"/>
  <c r="Y11" i="1" s="1"/>
  <c r="K11" i="1"/>
  <c r="H11" i="1"/>
  <c r="L11" i="1" s="1"/>
  <c r="AU10" i="1"/>
  <c r="AT10" i="1"/>
  <c r="AV10" i="1" s="1"/>
  <c r="AJ10" i="1"/>
  <c r="AI10" i="1"/>
  <c r="X10" i="1"/>
  <c r="Y10" i="1" s="1"/>
  <c r="K10" i="1"/>
  <c r="H10" i="1"/>
  <c r="L10" i="1" s="1"/>
  <c r="AU9" i="1"/>
  <c r="AV9" i="1" s="1"/>
  <c r="AT9" i="1"/>
  <c r="AJ9" i="1"/>
  <c r="AI9" i="1"/>
  <c r="Y9" i="1"/>
  <c r="X9" i="1"/>
  <c r="K9" i="1"/>
  <c r="H9" i="1"/>
  <c r="L9" i="1" s="1"/>
  <c r="AU8" i="1"/>
  <c r="AT8" i="1"/>
  <c r="AV8" i="1" s="1"/>
  <c r="AJ8" i="1"/>
  <c r="AI8" i="1"/>
  <c r="Y8" i="1"/>
  <c r="X8" i="1"/>
  <c r="L8" i="1"/>
  <c r="K8" i="1"/>
  <c r="H8" i="1"/>
  <c r="AU7" i="1"/>
  <c r="AT7" i="1"/>
  <c r="AV7" i="1" s="1"/>
  <c r="AI7" i="1"/>
  <c r="AJ7" i="1" s="1"/>
  <c r="Y7" i="1"/>
  <c r="X7" i="1"/>
  <c r="L7" i="1"/>
  <c r="K7" i="1"/>
  <c r="H7" i="1"/>
  <c r="AU6" i="1"/>
  <c r="AT6" i="1"/>
  <c r="AV6" i="1" s="1"/>
  <c r="AI6" i="1"/>
  <c r="AJ6" i="1" s="1"/>
  <c r="X6" i="1"/>
  <c r="Y6" i="1" s="1"/>
  <c r="K6" i="1"/>
  <c r="H6" i="1"/>
  <c r="L6" i="1" s="1"/>
  <c r="BE5" i="1"/>
  <c r="BF5" i="1" s="1"/>
  <c r="AU5" i="1"/>
  <c r="AT5" i="1"/>
  <c r="AV5" i="1" s="1"/>
  <c r="AI5" i="1"/>
  <c r="AJ5" i="1" s="1"/>
  <c r="X5" i="1"/>
  <c r="Y5" i="1" s="1"/>
  <c r="K5" i="1"/>
  <c r="H5" i="1"/>
  <c r="L5" i="1" s="1"/>
  <c r="BE4" i="1"/>
  <c r="BF4" i="1" s="1"/>
  <c r="BF49" i="1" s="1"/>
  <c r="AU4" i="1"/>
  <c r="AT4" i="1"/>
  <c r="AT81" i="1" s="1"/>
  <c r="AI4" i="1"/>
  <c r="AJ4" i="1" s="1"/>
  <c r="X4" i="1"/>
  <c r="Y4" i="1" s="1"/>
  <c r="Y67" i="1" s="1"/>
  <c r="K4" i="1"/>
  <c r="H4" i="1"/>
  <c r="H49" i="1" s="1"/>
  <c r="AJ74" i="1" l="1"/>
  <c r="L4" i="1"/>
  <c r="L49" i="1" s="1"/>
  <c r="AV4" i="1"/>
  <c r="AV81" i="1" s="1"/>
  <c r="D53" i="1" l="1"/>
</calcChain>
</file>

<file path=xl/sharedStrings.xml><?xml version="1.0" encoding="utf-8"?>
<sst xmlns="http://schemas.openxmlformats.org/spreadsheetml/2006/main" count="3004" uniqueCount="116">
  <si>
    <t>MATERIAL TRANSPORT - DOWNSTREAM</t>
  </si>
  <si>
    <t>ROADWAY</t>
  </si>
  <si>
    <t>RAILWAY</t>
  </si>
  <si>
    <t>WATERWAY</t>
  </si>
  <si>
    <t>AIRWAY</t>
  </si>
  <si>
    <t>MONTH</t>
  </si>
  <si>
    <t>ITEM TRANSPOTED</t>
  </si>
  <si>
    <t>QUANTITY OF MATERIAL (kgs)</t>
  </si>
  <si>
    <t>SOURCE</t>
  </si>
  <si>
    <t>DESTINATION</t>
  </si>
  <si>
    <t>DISTANCE TRAVELLED per Trip (km)</t>
  </si>
  <si>
    <t>DISTANCE TRAVELLED (km)</t>
  </si>
  <si>
    <t>FUEL CONSUMPTION (kilo Litres)</t>
  </si>
  <si>
    <t>NO OF MONTHLY TRIPS</t>
  </si>
  <si>
    <t>Emission Factor (kg CO2/km)</t>
  </si>
  <si>
    <t>CO2 e Emissions (tonnes)</t>
  </si>
  <si>
    <t>SL NO</t>
  </si>
  <si>
    <t>FUEL USED</t>
  </si>
  <si>
    <t>QUANTITY OF MATERIAL (Kgs)</t>
  </si>
  <si>
    <t>Emission Factor (kg CO2/tonne-km)</t>
  </si>
  <si>
    <t>MONTH OF TRANSPORT (ARRIVAL/DISPATCH)</t>
  </si>
  <si>
    <t>QUANTITY OF MATERIAL(Kgs)</t>
  </si>
  <si>
    <t>TYPE OF SHIPPING
(CONTAINER/TANKER)</t>
  </si>
  <si>
    <t>SEA DISTANCE (Nautical Miles)</t>
  </si>
  <si>
    <t>SEA DISTANCE (Km)</t>
  </si>
  <si>
    <t>MONTH OF TRANSPORT</t>
  </si>
  <si>
    <t>QUANTITY OF MATERIAL(kgs)</t>
  </si>
  <si>
    <t>DISTANCE (km)</t>
  </si>
  <si>
    <t>Chilli</t>
  </si>
  <si>
    <t>Vatsavai</t>
  </si>
  <si>
    <t>Hyderabad</t>
  </si>
  <si>
    <t>Chili,Red,Grnd,ST, Micro,15000 SHU</t>
  </si>
  <si>
    <t>VKS Hyderabad</t>
  </si>
  <si>
    <t>Shipment handeled by extrenal SP, Not Valid as this is for the Ocean shipment</t>
  </si>
  <si>
    <t>Nhava Sheva</t>
  </si>
  <si>
    <t>New York USA</t>
  </si>
  <si>
    <t>Red Pepper Ground -35K-40K SHU</t>
  </si>
  <si>
    <t>Konan</t>
  </si>
  <si>
    <t>Ballary</t>
  </si>
  <si>
    <t>Red Pepper Ground 35K-40K SHU-HT IPM</t>
  </si>
  <si>
    <t>Laem Chabang</t>
  </si>
  <si>
    <t>Khammam</t>
  </si>
  <si>
    <t>452C CHILLIES RED PEP</t>
  </si>
  <si>
    <t>Felixstowe, UK</t>
  </si>
  <si>
    <t>RED PEPPER GROUND 40K-50K SHU</t>
  </si>
  <si>
    <t>Chili,Red,Grnd,ST, Micro, 15000 SHU</t>
  </si>
  <si>
    <t>Chili,Cayenne,Grnd,ST,Micro,35000 SHU</t>
  </si>
  <si>
    <t>Chili,Red,Crushed,ST Micro,3/16',30000 SHU</t>
  </si>
  <si>
    <t>Chili,Red,Crushed/Minced,1/8 Inch,ST</t>
  </si>
  <si>
    <t>Red Pepper Ground 35K-40K SHU-HT-IPM</t>
  </si>
  <si>
    <t>Red Pepper Ground 40K-50K SHU</t>
  </si>
  <si>
    <t>451C PEPPER RED CAYE</t>
  </si>
  <si>
    <t>Antwerp</t>
  </si>
  <si>
    <t>Chili,Red,Grnd,ST, Micro,25000 SHU</t>
  </si>
  <si>
    <t>CHILE, RED, CRUSHED, ST, 1/8 25,000 SHU</t>
  </si>
  <si>
    <t>GF GF Thailand Ground 35-40 K</t>
  </si>
  <si>
    <t>GF Thailand Ground 35-40 K</t>
  </si>
  <si>
    <t>USA Chilli Ground 35-40K</t>
  </si>
  <si>
    <t>Canada Ground 40-50 K</t>
  </si>
  <si>
    <t>Chilli Ground 10-20K</t>
  </si>
  <si>
    <t>TOTAL</t>
  </si>
  <si>
    <t>Chilli powder 10-20K</t>
  </si>
  <si>
    <t xml:space="preserve">Total M.TRANSPORT DOWNSTREAM </t>
  </si>
  <si>
    <t>Chilli powder 20-30K</t>
  </si>
  <si>
    <t>451C NO IC PEPPER RED</t>
  </si>
  <si>
    <t>Total</t>
  </si>
  <si>
    <t>Chili.Red, Crushed,St micro,3/16',30000 SHU</t>
  </si>
  <si>
    <t xml:space="preserve">RED PEPPER GROUND- 40K- 50K SHU </t>
  </si>
  <si>
    <t>GUANGZHOU</t>
  </si>
  <si>
    <t xml:space="preserve">
Chillies Crushed India STST
</t>
  </si>
  <si>
    <t>RED PEPPER GROUND35K- 40K SHU (RFA)</t>
  </si>
  <si>
    <t>Chennai</t>
  </si>
  <si>
    <t>Chillies Crushed India STST</t>
  </si>
  <si>
    <t xml:space="preserve">451C PEPPER RED CAYE
</t>
  </si>
  <si>
    <t>Warangal</t>
  </si>
  <si>
    <t>Red Chilli Ground 35-40 K SHU</t>
  </si>
  <si>
    <t>khammam</t>
  </si>
  <si>
    <t>RED PEPPER CRUSHED 25-35K SHU-HT</t>
  </si>
  <si>
    <t>CHILE,RED,CRUSHED,ST,1/8 25,000 SHU</t>
  </si>
  <si>
    <t>Shipment handled by external SP, Not Valid as this is for the Ocean shipment</t>
  </si>
  <si>
    <t>VKS, Hyderabad</t>
  </si>
  <si>
    <t>CHILI, CAYENNE, GRND, ST, MICRO, 35000 SHU</t>
  </si>
  <si>
    <t>CCS</t>
  </si>
  <si>
    <t>451C NO IC CHILLIES RED</t>
  </si>
  <si>
    <t>VKS Factory</t>
  </si>
  <si>
    <t>ICD Hyderabad</t>
  </si>
  <si>
    <t>Felixstove</t>
  </si>
  <si>
    <t>Karnataka</t>
  </si>
  <si>
    <t>Factory</t>
  </si>
  <si>
    <t>ICD Marripalem</t>
  </si>
  <si>
    <t>Chili,Cayenne,Grnd,ST Micro,35000SHU</t>
  </si>
  <si>
    <t>Vastavai</t>
  </si>
  <si>
    <t>Chili,Cayenne,Grnd,ST,Micro,15000 SHU</t>
  </si>
  <si>
    <t>Chilli Crush</t>
  </si>
  <si>
    <t>Antwerpen</t>
  </si>
  <si>
    <t>Bellary</t>
  </si>
  <si>
    <t xml:space="preserve">Red Pepper Ground- 35k- 40k SHU </t>
  </si>
  <si>
    <t>New York</t>
  </si>
  <si>
    <t>Chilli, red , crushed/minced, 1/8 inch, ST</t>
  </si>
  <si>
    <t>Chili,Red,Grnd,ST,Micro,15000 SHU</t>
  </si>
  <si>
    <t>NO IC CHILLIES RED PEP</t>
  </si>
  <si>
    <t>Tokyo</t>
  </si>
  <si>
    <t>RED PEPPER CRUSHED, ST MICRO,CONVENTIONAL</t>
  </si>
  <si>
    <t>CAPSICUM GRD 60-000 SCU</t>
  </si>
  <si>
    <t>CUMIN GROUND -SS</t>
  </si>
  <si>
    <t>RED PEPPER GROUND 35K-40K SHU HT-IPM</t>
  </si>
  <si>
    <t>Laem Chebang</t>
  </si>
  <si>
    <t>* Note on Data Source</t>
  </si>
  <si>
    <t>1. VKS data dated 19-May-2023</t>
  </si>
  <si>
    <t>2. Sea Port distance: Ports.com</t>
  </si>
  <si>
    <t>3. Airports distance: 1. Google Maps 2. www.prokerala.com/travel/airports/distance/from-hyd/to-sea/</t>
  </si>
  <si>
    <t>4. Road Ways and Railways Distance: Google Maps</t>
  </si>
  <si>
    <t xml:space="preserve">1. VKS data </t>
  </si>
  <si>
    <t>Diesel</t>
  </si>
  <si>
    <t>40FT</t>
  </si>
  <si>
    <t>20FT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</si>
</sst>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[$-409]mmm\-yy;@"/>
    <numFmt numFmtId="166" formatCode="0.00000"/>
    <numFmt numFmtId="167" formatCode="0.0"/>
    <numFmt numFmtId="168" formatCode="#,##0\ &quot;Kg&quot;"/>
    <numFmt numFmtId="169" formatCode="0\ &quot;KG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7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43" fontId="0" fillId="0" borderId="13" xfId="1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0" fontId="0" fillId="0" borderId="8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" fontId="5" fillId="0" borderId="9" xfId="1" applyNumberFormat="1" applyFont="1" applyFill="1" applyBorder="1" applyAlignment="1"/>
    <xf numFmtId="0" fontId="0" fillId="0" borderId="9" xfId="0" applyBorder="1"/>
    <xf numFmtId="164" fontId="0" fillId="0" borderId="10" xfId="0" applyNumberFormat="1" applyBorder="1"/>
    <xf numFmtId="0" fontId="0" fillId="0" borderId="11" xfId="0" applyBorder="1"/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5" fillId="0" borderId="13" xfId="1" applyNumberFormat="1" applyFont="1" applyFill="1" applyBorder="1" applyAlignment="1"/>
    <xf numFmtId="0" fontId="6" fillId="0" borderId="13" xfId="0" applyFont="1" applyBorder="1" applyAlignment="1">
      <alignment horizontal="center" vertical="center"/>
    </xf>
    <xf numFmtId="166" fontId="0" fillId="0" borderId="13" xfId="0" applyNumberFormat="1" applyBorder="1"/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1" fontId="5" fillId="0" borderId="13" xfId="1" applyNumberFormat="1" applyFont="1" applyFill="1" applyBorder="1" applyAlignment="1">
      <alignment horizontal="center"/>
    </xf>
    <xf numFmtId="17" fontId="0" fillId="0" borderId="13" xfId="0" applyNumberFormat="1" applyBorder="1" applyAlignment="1">
      <alignment horizontal="left"/>
    </xf>
    <xf numFmtId="2" fontId="0" fillId="0" borderId="14" xfId="0" applyNumberFormat="1" applyBorder="1"/>
    <xf numFmtId="0" fontId="0" fillId="0" borderId="16" xfId="0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" fontId="0" fillId="0" borderId="13" xfId="0" applyNumberFormat="1" applyBorder="1" applyAlignment="1">
      <alignment vertical="center"/>
    </xf>
    <xf numFmtId="0" fontId="5" fillId="0" borderId="13" xfId="0" applyFont="1" applyBorder="1"/>
    <xf numFmtId="0" fontId="7" fillId="0" borderId="1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43" fontId="0" fillId="0" borderId="13" xfId="1" applyFont="1" applyBorder="1" applyAlignment="1">
      <alignment horizontal="center" vertical="center"/>
    </xf>
    <xf numFmtId="0" fontId="0" fillId="0" borderId="13" xfId="1" applyNumberFormat="1" applyFont="1" applyBorder="1"/>
    <xf numFmtId="0" fontId="0" fillId="0" borderId="13" xfId="0" applyBorder="1" applyAlignment="1">
      <alignment vertical="center"/>
    </xf>
    <xf numFmtId="17" fontId="0" fillId="0" borderId="13" xfId="0" applyNumberFormat="1" applyBorder="1" applyAlignment="1">
      <alignment horizontal="center" vertical="center"/>
    </xf>
    <xf numFmtId="1" fontId="5" fillId="0" borderId="17" xfId="1" applyNumberFormat="1" applyFont="1" applyFill="1" applyBorder="1" applyAlignment="1"/>
    <xf numFmtId="1" fontId="5" fillId="0" borderId="13" xfId="1" applyNumberFormat="1" applyFont="1" applyFill="1" applyBorder="1" applyAlignment="1">
      <alignment vertical="center"/>
    </xf>
    <xf numFmtId="43" fontId="0" fillId="0" borderId="13" xfId="1" applyFont="1" applyFill="1" applyBorder="1"/>
    <xf numFmtId="1" fontId="5" fillId="0" borderId="13" xfId="1" applyNumberFormat="1" applyFont="1" applyFill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2" fillId="0" borderId="4" xfId="0" applyNumberFormat="1" applyFont="1" applyBorder="1"/>
    <xf numFmtId="164" fontId="2" fillId="0" borderId="4" xfId="0" applyNumberFormat="1" applyFont="1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167" fontId="2" fillId="0" borderId="4" xfId="0" applyNumberFormat="1" applyFont="1" applyBorder="1"/>
    <xf numFmtId="0" fontId="0" fillId="0" borderId="0" xfId="0" applyAlignment="1">
      <alignment horizontal="left" vertical="center"/>
    </xf>
    <xf numFmtId="165" fontId="8" fillId="0" borderId="19" xfId="0" applyNumberFormat="1" applyFont="1" applyBorder="1" applyAlignment="1">
      <alignment horizontal="left" vertical="center"/>
    </xf>
    <xf numFmtId="0" fontId="2" fillId="0" borderId="20" xfId="0" applyFont="1" applyBorder="1"/>
    <xf numFmtId="164" fontId="2" fillId="0" borderId="21" xfId="0" applyNumberFormat="1" applyFont="1" applyBorder="1"/>
    <xf numFmtId="165" fontId="6" fillId="0" borderId="16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1" fontId="5" fillId="0" borderId="12" xfId="1" applyNumberFormat="1" applyFont="1" applyFill="1" applyBorder="1" applyAlignment="1"/>
    <xf numFmtId="0" fontId="0" fillId="0" borderId="12" xfId="0" applyBorder="1"/>
    <xf numFmtId="164" fontId="0" fillId="0" borderId="23" xfId="0" applyNumberFormat="1" applyBorder="1"/>
    <xf numFmtId="0" fontId="6" fillId="0" borderId="24" xfId="0" applyFont="1" applyBorder="1" applyAlignment="1">
      <alignment horizontal="center" vertical="center"/>
    </xf>
    <xf numFmtId="164" fontId="9" fillId="0" borderId="21" xfId="0" applyNumberFormat="1" applyFont="1" applyBorder="1"/>
    <xf numFmtId="164" fontId="0" fillId="0" borderId="0" xfId="0" applyNumberFormat="1"/>
    <xf numFmtId="0" fontId="6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1" fontId="2" fillId="0" borderId="25" xfId="0" applyNumberFormat="1" applyFont="1" applyBorder="1"/>
    <xf numFmtId="0" fontId="2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165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" fontId="5" fillId="0" borderId="16" xfId="1" applyNumberFormat="1" applyFont="1" applyFill="1" applyBorder="1" applyAlignment="1"/>
    <xf numFmtId="0" fontId="0" fillId="0" borderId="16" xfId="0" applyBorder="1"/>
    <xf numFmtId="0" fontId="6" fillId="0" borderId="16" xfId="0" applyFont="1" applyBorder="1" applyAlignment="1">
      <alignment horizontal="center" vertical="center"/>
    </xf>
    <xf numFmtId="166" fontId="0" fillId="0" borderId="16" xfId="0" applyNumberFormat="1" applyBorder="1"/>
    <xf numFmtId="164" fontId="0" fillId="0" borderId="28" xfId="0" applyNumberFormat="1" applyBorder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65" fontId="0" fillId="0" borderId="30" xfId="0" applyNumberFormat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1" fontId="5" fillId="0" borderId="30" xfId="1" applyNumberFormat="1" applyFont="1" applyFill="1" applyBorder="1" applyAlignment="1"/>
    <xf numFmtId="0" fontId="6" fillId="0" borderId="30" xfId="0" applyFont="1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65" fontId="0" fillId="0" borderId="17" xfId="0" applyNumberFormat="1" applyBorder="1" applyAlignment="1">
      <alignment horizontal="center" vertical="center"/>
    </xf>
    <xf numFmtId="0" fontId="5" fillId="0" borderId="17" xfId="0" applyFont="1" applyBorder="1"/>
    <xf numFmtId="2" fontId="0" fillId="0" borderId="17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" fontId="5" fillId="0" borderId="3" xfId="1" applyNumberFormat="1" applyFont="1" applyFill="1" applyBorder="1" applyAlignment="1"/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27" xfId="0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13" xfId="0" applyBorder="1" applyAlignment="1">
      <alignment horizontal="right" vertical="center"/>
    </xf>
    <xf numFmtId="0" fontId="5" fillId="0" borderId="9" xfId="0" applyFont="1" applyBorder="1"/>
    <xf numFmtId="0" fontId="0" fillId="2" borderId="11" xfId="0" applyFill="1" applyBorder="1" applyAlignment="1">
      <alignment horizontal="center"/>
    </xf>
    <xf numFmtId="17" fontId="0" fillId="2" borderId="13" xfId="0" applyNumberFormat="1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43" fontId="0" fillId="2" borderId="13" xfId="1" applyFont="1" applyFill="1" applyBorder="1"/>
    <xf numFmtId="0" fontId="0" fillId="2" borderId="13" xfId="0" applyFill="1" applyBorder="1"/>
    <xf numFmtId="1" fontId="2" fillId="0" borderId="35" xfId="0" applyNumberFormat="1" applyFont="1" applyBorder="1"/>
    <xf numFmtId="1" fontId="2" fillId="0" borderId="36" xfId="0" applyNumberFormat="1" applyFont="1" applyBorder="1"/>
    <xf numFmtId="0" fontId="6" fillId="0" borderId="30" xfId="0" applyFont="1" applyBorder="1" applyAlignment="1">
      <alignment horizontal="left" vertical="center"/>
    </xf>
    <xf numFmtId="164" fontId="0" fillId="0" borderId="31" xfId="0" applyNumberFormat="1" applyBorder="1"/>
    <xf numFmtId="164" fontId="0" fillId="0" borderId="21" xfId="0" applyNumberFormat="1" applyBorder="1"/>
    <xf numFmtId="0" fontId="2" fillId="0" borderId="13" xfId="0" applyFont="1" applyBorder="1"/>
    <xf numFmtId="0" fontId="2" fillId="0" borderId="13" xfId="0" applyFont="1" applyBorder="1" applyAlignment="1">
      <alignment wrapText="1"/>
    </xf>
    <xf numFmtId="17" fontId="0" fillId="0" borderId="13" xfId="0" applyNumberFormat="1" applyBorder="1"/>
    <xf numFmtId="2" fontId="0" fillId="0" borderId="0" xfId="0" applyNumberFormat="1" applyAlignment="1">
      <alignment wrapText="1"/>
    </xf>
    <xf numFmtId="2" fontId="0" fillId="0" borderId="13" xfId="0" applyNumberFormat="1" applyBorder="1"/>
    <xf numFmtId="167" fontId="0" fillId="0" borderId="13" xfId="0" applyNumberFormat="1" applyBorder="1"/>
    <xf numFmtId="164" fontId="0" fillId="0" borderId="15" xfId="0" applyNumberFormat="1" applyBorder="1"/>
    <xf numFmtId="0" fontId="6" fillId="0" borderId="13" xfId="0" applyFont="1" applyBorder="1"/>
    <xf numFmtId="17" fontId="1" fillId="0" borderId="13" xfId="0" applyNumberFormat="1" applyFont="1" applyBorder="1" applyAlignment="1">
      <alignment wrapText="1"/>
    </xf>
    <xf numFmtId="0" fontId="1" fillId="0" borderId="13" xfId="0" applyFont="1" applyBorder="1" applyAlignment="1">
      <alignment wrapText="1"/>
    </xf>
    <xf numFmtId="168" fontId="1" fillId="0" borderId="13" xfId="0" applyNumberFormat="1" applyFont="1" applyBorder="1" applyAlignment="1">
      <alignment wrapText="1"/>
    </xf>
    <xf numFmtId="0" fontId="1" fillId="0" borderId="13" xfId="0" applyFont="1" applyBorder="1"/>
    <xf numFmtId="168" fontId="6" fillId="0" borderId="13" xfId="0" applyNumberFormat="1" applyFont="1" applyBorder="1"/>
    <xf numFmtId="169" fontId="0" fillId="0" borderId="13" xfId="0" applyNumberFormat="1" applyBorder="1"/>
    <xf numFmtId="17" fontId="10" fillId="0" borderId="13" xfId="0" applyNumberFormat="1" applyFont="1" applyBorder="1"/>
    <xf numFmtId="164" fontId="2" fillId="0" borderId="0" xfId="0" applyNumberFormat="1" applyFont="1"/>
    <xf numFmtId="14" fontId="0" fillId="0" borderId="13" xfId="0" applyNumberFormat="1" applyBorder="1"/>
    <xf numFmtId="168" fontId="0" fillId="0" borderId="13" xfId="0" applyNumberFormat="1" applyBorder="1"/>
    <xf numFmtId="164" fontId="2" fillId="0" borderId="13" xfId="0" applyNumberFormat="1" applyFont="1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GHG%20Emission%20Study/GHG%20-%202021-2023.xlsx" TargetMode="External"/><Relationship Id="rId2" Type="http://schemas.openxmlformats.org/officeDocument/2006/relationships/externalLinkPath" Target="file:///C:\Users\mlakshmikantha\Documents\GHG%20Emission%20Study\GHG%20-%202021-2023.xlsx" TargetMode="External"/><Relationship Id="rId1" Type="http://schemas.openxmlformats.org/officeDocument/2006/relationships/externalLinkPath" Target="/Users/mlakshmikantha/Documents/GHG%20Emission%20Study/GHG%20-%202021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GHG%20Emission%20Study/GHG%20-%202020-2022.xlsx" TargetMode="External"/><Relationship Id="rId2" Type="http://schemas.openxmlformats.org/officeDocument/2006/relationships/externalLinkPath" Target="file:///C:\Users\mlakshmikantha\Documents\GHG%20Emission%20Study\GHG%20-%202020-2022.xlsx" TargetMode="External"/><Relationship Id="rId1" Type="http://schemas.openxmlformats.org/officeDocument/2006/relationships/externalLinkPath" Target="/Users/mlakshmikantha/Documents/GHG%20Emission%20Study/GHG%20-%202020-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ashant%202025\Chilli\Masterfile-GHG-INVENTORY%20CAL-TEROVA_VI-Chilly2021-23_1May2024.xlsx" TargetMode="External"/><Relationship Id="rId1" Type="http://schemas.openxmlformats.org/officeDocument/2006/relationships/externalLinkPath" Target="file:///D:\Prashant%202025\Chilli\Masterfile-GHG-INVENTORY%20CAL-TEROVA_VI-Chilly2021-23_1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PAGE"/>
      <sheetName val="ISO 14064"/>
      <sheetName val="Context"/>
      <sheetName val="Process Information"/>
      <sheetName val="Dashboard"/>
      <sheetName val="FUEL UPSTREAM"/>
      <sheetName val="ELECTRICITY UPSTREAM"/>
      <sheetName val="TRAVEL UPSTREAM"/>
      <sheetName val="M.TRANSPORT UPSTREAM"/>
      <sheetName val="OTHER UPSTREAM"/>
      <sheetName val="CHEMICAL DOWNSTREAM"/>
      <sheetName val="FUEL DOWNSTREAM"/>
      <sheetName val="ELECTRICITY DOWNSTREAM"/>
      <sheetName val="M.TRANSPORT DOWNSTREAM "/>
      <sheetName val="TRAVEL DOWNSTREAM"/>
      <sheetName val="OTHER DOWNSTREAM"/>
      <sheetName val=" BIOGENIC"/>
      <sheetName val="GAS WISE DISTRIBUTION"/>
      <sheetName val="REFERENCE"/>
      <sheetName val="S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7">
          <cell r="E37">
            <v>0.59279999999999999</v>
          </cell>
        </row>
        <row r="38">
          <cell r="E38">
            <v>9.9600000000000001E-3</v>
          </cell>
        </row>
        <row r="39">
          <cell r="E39">
            <v>8.3999999999999995E-3</v>
          </cell>
        </row>
        <row r="40">
          <cell r="E40">
            <v>1.58</v>
          </cell>
        </row>
      </sheetData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PAGE"/>
      <sheetName val="ISO 14064"/>
      <sheetName val="Context"/>
      <sheetName val="Process Information"/>
      <sheetName val="Dashboard"/>
      <sheetName val="FUEL UPSTREAM"/>
      <sheetName val="ELECTRICITY UPSTREAM"/>
      <sheetName val="TRAVEL UPSTREAM"/>
      <sheetName val="M.TRANSPORT UPSTREAM"/>
      <sheetName val="OTHER UPSTREAM"/>
      <sheetName val="CHEMICAL DOWNSTREAM"/>
      <sheetName val="FUEL DOWNSTREAM"/>
      <sheetName val="ELECTRICITY DOWNSTREAM"/>
      <sheetName val="M.TRANSPORT DOWNSTREAM "/>
      <sheetName val="TRAVEL DOWNSTREAM"/>
      <sheetName val="OTHER DOWNSTREAM"/>
      <sheetName val=" BIOGENIC"/>
      <sheetName val="GAS WISE DISTRIBUTION"/>
      <sheetName val="REFERENCE"/>
      <sheetName val="S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7">
          <cell r="E37">
            <v>0.59279999999999999</v>
          </cell>
        </row>
        <row r="38">
          <cell r="E38">
            <v>9.9600000000000001E-3</v>
          </cell>
        </row>
        <row r="39">
          <cell r="E39">
            <v>8.3999999999999995E-3</v>
          </cell>
        </row>
        <row r="40">
          <cell r="E40">
            <v>1.58</v>
          </cell>
        </row>
      </sheetData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PAGE"/>
      <sheetName val="ISO 14064"/>
      <sheetName val="Context"/>
      <sheetName val="Process Information"/>
      <sheetName val="Dashboard"/>
      <sheetName val="FUEL UPSTREAM"/>
      <sheetName val="ELECTRICITY UPSTREAM"/>
      <sheetName val="TRAVEL UPSTREAM"/>
      <sheetName val="OTHER UPSTREAM"/>
      <sheetName val="M.TRANSPORT UPSTREAM"/>
      <sheetName val="CHEMICAL DOWNSTREAM"/>
      <sheetName val="FUEL DOWNSTREAM"/>
      <sheetName val="ELECTRICITY DOWNSTREAM"/>
      <sheetName val="M.TRANSPORT DOWNSTREAM "/>
      <sheetName val="TRAVEL DOWNSTREAM"/>
      <sheetName val="OTHER DOWNSTREAM"/>
      <sheetName val=" BIOGENIC"/>
      <sheetName val="GAS WISE DISTRIBUTION"/>
      <sheetName val="REFERENCE"/>
      <sheetName val="S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4">
          <cell r="E34">
            <v>1.21E-4</v>
          </cell>
        </row>
        <row r="37">
          <cell r="E37">
            <v>0.59279999999999999</v>
          </cell>
        </row>
        <row r="38">
          <cell r="E38">
            <v>9.9600000000000001E-3</v>
          </cell>
        </row>
        <row r="39">
          <cell r="E39">
            <v>8.3999999999999995E-3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4B3-53D0-4983-973A-69B1AD4E2012}">
  <dimension ref="A1:DH81"/>
  <sheetViews>
    <sheetView topLeftCell="AD10" zoomScale="81" workbookViewId="0">
      <selection activeCell="AR34" sqref="AR34"/>
    </sheetView>
  </sheetViews>
  <sheetFormatPr defaultRowHeight="14.5" x14ac:dyDescent="0.35"/>
  <cols>
    <col min="1" max="1" width="4" style="67" customWidth="1"/>
    <col min="2" max="2" width="8.1796875" customWidth="1"/>
    <col min="3" max="3" width="17.81640625" customWidth="1"/>
    <col min="4" max="4" width="12.81640625" customWidth="1"/>
    <col min="5" max="5" width="15.7265625" bestFit="1" customWidth="1"/>
    <col min="6" max="6" width="13.1796875" bestFit="1" customWidth="1"/>
    <col min="7" max="7" width="10.453125" customWidth="1"/>
    <col min="8" max="8" width="11.54296875" customWidth="1"/>
    <col min="9" max="9" width="9.26953125" customWidth="1"/>
    <col min="10" max="10" width="10.453125" customWidth="1"/>
    <col min="11" max="11" width="10" customWidth="1"/>
    <col min="12" max="12" width="10.54296875" bestFit="1" customWidth="1"/>
    <col min="13" max="13" width="3.81640625" customWidth="1"/>
    <col min="14" max="14" width="6.1796875" customWidth="1"/>
    <col min="15" max="15" width="8.90625" customWidth="1"/>
    <col min="16" max="16" width="13.1796875" customWidth="1"/>
    <col min="17" max="17" width="10.54296875" customWidth="1"/>
    <col min="19" max="19" width="15.1796875" customWidth="1"/>
    <col min="20" max="20" width="13.08984375" customWidth="1"/>
    <col min="21" max="21" width="9.81640625" customWidth="1"/>
    <col min="22" max="22" width="14.08984375" customWidth="1"/>
    <col min="23" max="23" width="65.26953125" bestFit="1" customWidth="1"/>
    <col min="24" max="24" width="10.90625" customWidth="1"/>
    <col min="25" max="25" width="9.90625" customWidth="1"/>
    <col min="26" max="26" width="3.81640625" customWidth="1"/>
    <col min="27" max="27" width="5.54296875" customWidth="1"/>
    <col min="28" max="28" width="8.26953125" customWidth="1"/>
    <col min="29" max="29" width="12.7265625" bestFit="1" customWidth="1"/>
    <col min="30" max="30" width="14.81640625" customWidth="1"/>
    <col min="31" max="31" width="8.1796875" bestFit="1" customWidth="1"/>
    <col min="32" max="32" width="13.1796875" bestFit="1" customWidth="1"/>
    <col min="33" max="33" width="10.54296875" customWidth="1"/>
    <col min="34" max="34" width="11.7265625" customWidth="1"/>
    <col min="35" max="36" width="9.7265625" customWidth="1"/>
    <col min="37" max="37" width="4.54296875" customWidth="1"/>
    <col min="38" max="38" width="5.54296875" customWidth="1"/>
    <col min="39" max="39" width="19.1796875" bestFit="1" customWidth="1"/>
    <col min="40" max="40" width="27.7265625" customWidth="1"/>
    <col min="41" max="41" width="9.54296875" customWidth="1"/>
    <col min="42" max="42" width="12.81640625" bestFit="1" customWidth="1"/>
    <col min="43" max="43" width="23.7265625" bestFit="1" customWidth="1"/>
    <col min="44" max="44" width="10.7265625" customWidth="1"/>
    <col min="45" max="45" width="9.7265625" bestFit="1" customWidth="1"/>
    <col min="46" max="47" width="10" customWidth="1"/>
    <col min="48" max="48" width="11.54296875" customWidth="1"/>
    <col min="49" max="49" width="4.453125" customWidth="1"/>
    <col min="51" max="51" width="13.1796875" customWidth="1"/>
    <col min="52" max="52" width="31.81640625" bestFit="1" customWidth="1"/>
    <col min="53" max="53" width="14.453125" customWidth="1"/>
    <col min="54" max="54" width="11" bestFit="1" customWidth="1"/>
    <col min="55" max="55" width="13.81640625" bestFit="1" customWidth="1"/>
    <col min="56" max="56" width="10.26953125" customWidth="1"/>
    <col min="57" max="57" width="11.54296875" customWidth="1"/>
    <col min="58" max="58" width="10.1796875" customWidth="1"/>
  </cols>
  <sheetData>
    <row r="1" spans="1:112" s="1" customFormat="1" ht="27.75" customHeight="1" x14ac:dyDescent="0.35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</row>
    <row r="2" spans="1:112" ht="15" thickBot="1" x14ac:dyDescent="0.4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N2" s="173" t="s">
        <v>1</v>
      </c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AA2" s="173" t="s">
        <v>2</v>
      </c>
      <c r="AB2" s="173"/>
      <c r="AC2" s="173"/>
      <c r="AD2" s="173"/>
      <c r="AE2" s="173"/>
      <c r="AF2" s="173"/>
      <c r="AG2" s="173"/>
      <c r="AH2" s="173"/>
      <c r="AI2" s="173"/>
      <c r="AJ2" s="173"/>
      <c r="AL2" s="173" t="s">
        <v>3</v>
      </c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X2" s="174" t="s">
        <v>4</v>
      </c>
      <c r="AY2" s="174"/>
      <c r="AZ2" s="174"/>
      <c r="BA2" s="174"/>
      <c r="BB2" s="174"/>
      <c r="BC2" s="174"/>
      <c r="BD2" s="174"/>
      <c r="BE2" s="174"/>
      <c r="BF2" s="174"/>
    </row>
    <row r="3" spans="1:112" ht="73" thickBot="1" x14ac:dyDescent="0.4">
      <c r="A3" s="3"/>
      <c r="B3" s="4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6" t="s">
        <v>15</v>
      </c>
      <c r="N3" s="7" t="s">
        <v>16</v>
      </c>
      <c r="O3" s="8" t="s">
        <v>5</v>
      </c>
      <c r="P3" s="9" t="s">
        <v>6</v>
      </c>
      <c r="Q3" s="9" t="s">
        <v>7</v>
      </c>
      <c r="R3" s="8" t="s">
        <v>8</v>
      </c>
      <c r="S3" s="8" t="s">
        <v>9</v>
      </c>
      <c r="T3" s="9" t="s">
        <v>11</v>
      </c>
      <c r="U3" s="9" t="s">
        <v>17</v>
      </c>
      <c r="V3" s="9" t="s">
        <v>12</v>
      </c>
      <c r="W3" s="9" t="s">
        <v>13</v>
      </c>
      <c r="X3" s="9" t="s">
        <v>14</v>
      </c>
      <c r="Y3" s="10" t="s">
        <v>15</v>
      </c>
      <c r="AA3" s="11" t="s">
        <v>16</v>
      </c>
      <c r="AB3" s="12" t="s">
        <v>5</v>
      </c>
      <c r="AC3" s="13" t="s">
        <v>6</v>
      </c>
      <c r="AD3" s="13" t="s">
        <v>18</v>
      </c>
      <c r="AE3" s="12" t="s">
        <v>8</v>
      </c>
      <c r="AF3" s="12" t="s">
        <v>9</v>
      </c>
      <c r="AG3" s="13" t="s">
        <v>11</v>
      </c>
      <c r="AH3" s="13" t="s">
        <v>13</v>
      </c>
      <c r="AI3" s="13" t="s">
        <v>19</v>
      </c>
      <c r="AJ3" s="14" t="s">
        <v>15</v>
      </c>
      <c r="AL3" s="15" t="s">
        <v>16</v>
      </c>
      <c r="AM3" s="5" t="s">
        <v>20</v>
      </c>
      <c r="AN3" s="5" t="s">
        <v>6</v>
      </c>
      <c r="AO3" s="5" t="s">
        <v>21</v>
      </c>
      <c r="AP3" s="4" t="s">
        <v>8</v>
      </c>
      <c r="AQ3" s="4" t="s">
        <v>9</v>
      </c>
      <c r="AR3" s="5" t="s">
        <v>22</v>
      </c>
      <c r="AS3" s="5" t="s">
        <v>23</v>
      </c>
      <c r="AT3" s="5" t="s">
        <v>24</v>
      </c>
      <c r="AU3" s="5" t="s">
        <v>19</v>
      </c>
      <c r="AV3" s="6" t="s">
        <v>15</v>
      </c>
      <c r="AX3" s="15" t="s">
        <v>16</v>
      </c>
      <c r="AY3" s="5" t="s">
        <v>25</v>
      </c>
      <c r="AZ3" s="5" t="s">
        <v>6</v>
      </c>
      <c r="BA3" s="5" t="s">
        <v>26</v>
      </c>
      <c r="BB3" s="4" t="s">
        <v>8</v>
      </c>
      <c r="BC3" s="4" t="s">
        <v>9</v>
      </c>
      <c r="BD3" s="5" t="s">
        <v>27</v>
      </c>
      <c r="BE3" s="5" t="s">
        <v>19</v>
      </c>
      <c r="BF3" s="6" t="s">
        <v>15</v>
      </c>
    </row>
    <row r="4" spans="1:112" s="20" customFormat="1" ht="16.5" thickBot="1" x14ac:dyDescent="0.4">
      <c r="A4" s="16">
        <v>1</v>
      </c>
      <c r="B4" s="17">
        <v>44713</v>
      </c>
      <c r="C4" s="18" t="s">
        <v>28</v>
      </c>
      <c r="D4" s="19">
        <v>22565.68</v>
      </c>
      <c r="E4" s="20" t="s">
        <v>29</v>
      </c>
      <c r="F4" s="20" t="s">
        <v>30</v>
      </c>
      <c r="G4" s="20">
        <v>236</v>
      </c>
      <c r="H4" s="20">
        <f>G4*J4</f>
        <v>472</v>
      </c>
      <c r="J4" s="20">
        <v>2</v>
      </c>
      <c r="K4" s="20">
        <f>[1]REFERENCE!$E$37</f>
        <v>0.59279999999999999</v>
      </c>
      <c r="L4" s="21">
        <f>H4*K4/1000</f>
        <v>0.27980159999999998</v>
      </c>
      <c r="M4" s="22"/>
      <c r="N4" s="23">
        <v>1</v>
      </c>
      <c r="O4" s="24">
        <v>44716</v>
      </c>
      <c r="P4" s="25" t="s">
        <v>31</v>
      </c>
      <c r="Q4" s="26">
        <v>25000</v>
      </c>
      <c r="R4" s="27" t="s">
        <v>32</v>
      </c>
      <c r="S4" s="27" t="s">
        <v>30</v>
      </c>
      <c r="T4" s="27">
        <v>21</v>
      </c>
      <c r="U4" s="27" t="s">
        <v>113</v>
      </c>
      <c r="V4" s="27"/>
      <c r="W4" s="27" t="s">
        <v>33</v>
      </c>
      <c r="X4" s="27">
        <f>[1]REFERENCE!$E$37</f>
        <v>0.59279999999999999</v>
      </c>
      <c r="Y4" s="28">
        <f>T4*X4/1000</f>
        <v>1.2448799999999999E-2</v>
      </c>
      <c r="Z4" s="22"/>
      <c r="AA4" s="29">
        <v>1</v>
      </c>
      <c r="AB4" s="30">
        <v>44716</v>
      </c>
      <c r="AC4" s="31" t="s">
        <v>31</v>
      </c>
      <c r="AD4" s="32">
        <v>25000</v>
      </c>
      <c r="AE4" s="20" t="s">
        <v>32</v>
      </c>
      <c r="AF4" s="33" t="s">
        <v>34</v>
      </c>
      <c r="AG4" s="20">
        <v>702</v>
      </c>
      <c r="AI4" s="34">
        <f>[1]REFERENCE!$E$38</f>
        <v>9.9600000000000001E-3</v>
      </c>
      <c r="AJ4" s="21">
        <f t="shared" ref="AJ4:AJ67" si="0">AD4*AG4*AI4/10^6</f>
        <v>0.17479800000000001</v>
      </c>
      <c r="AK4" s="22"/>
      <c r="AL4" s="16">
        <v>1</v>
      </c>
      <c r="AM4" s="30">
        <v>44716</v>
      </c>
      <c r="AN4" s="31" t="s">
        <v>31</v>
      </c>
      <c r="AO4" s="32">
        <v>25000</v>
      </c>
      <c r="AP4" s="33" t="s">
        <v>34</v>
      </c>
      <c r="AQ4" s="33" t="s">
        <v>35</v>
      </c>
      <c r="AR4" s="20" t="s">
        <v>114</v>
      </c>
      <c r="AS4" s="35">
        <v>9036</v>
      </c>
      <c r="AT4" s="36">
        <f>AS4*1.852</f>
        <v>16734.672000000002</v>
      </c>
      <c r="AU4" s="35">
        <f>[1]REFERENCE!$E$39</f>
        <v>8.3999999999999995E-3</v>
      </c>
      <c r="AV4" s="37">
        <f t="shared" ref="AV4:AV67" si="1">AO4*AT4*AU4/10^6</f>
        <v>3.5142811200000001</v>
      </c>
      <c r="AW4" s="22"/>
      <c r="AX4" s="16">
        <v>1</v>
      </c>
      <c r="AY4" s="30">
        <v>44953</v>
      </c>
      <c r="AZ4" s="38" t="s">
        <v>36</v>
      </c>
      <c r="BA4" s="39">
        <v>625</v>
      </c>
      <c r="BB4" s="18" t="s">
        <v>30</v>
      </c>
      <c r="BC4" s="40" t="s">
        <v>37</v>
      </c>
      <c r="BD4" s="35">
        <v>6647</v>
      </c>
      <c r="BE4" s="20">
        <f>[1]REFERENCE!$E$40</f>
        <v>1.58</v>
      </c>
      <c r="BF4" s="41">
        <f>BA4*BD4*BE4/10^6</f>
        <v>6.5639124999999998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</row>
    <row r="5" spans="1:112" ht="16.5" thickBot="1" x14ac:dyDescent="0.4">
      <c r="A5" s="16">
        <v>2</v>
      </c>
      <c r="B5" s="17">
        <v>44713</v>
      </c>
      <c r="C5" s="42"/>
      <c r="D5" s="19">
        <v>12895.09</v>
      </c>
      <c r="E5" s="20" t="s">
        <v>38</v>
      </c>
      <c r="F5" s="20" t="s">
        <v>30</v>
      </c>
      <c r="G5" s="20">
        <v>358</v>
      </c>
      <c r="H5" s="20">
        <f t="shared" ref="H5:H27" si="2">G5*J5</f>
        <v>1074</v>
      </c>
      <c r="I5" s="20"/>
      <c r="J5" s="20">
        <v>3</v>
      </c>
      <c r="K5" s="20">
        <f>[1]REFERENCE!$E$37</f>
        <v>0.59279999999999999</v>
      </c>
      <c r="L5" s="21">
        <f t="shared" ref="L5:L27" si="3">H5*K5/1000</f>
        <v>0.63666719999999999</v>
      </c>
      <c r="N5" s="16">
        <v>2</v>
      </c>
      <c r="O5" s="30">
        <v>44719</v>
      </c>
      <c r="P5" s="31" t="s">
        <v>39</v>
      </c>
      <c r="Q5" s="32">
        <v>23750</v>
      </c>
      <c r="R5" s="20" t="s">
        <v>32</v>
      </c>
      <c r="S5" s="20" t="s">
        <v>30</v>
      </c>
      <c r="T5" s="20">
        <v>21</v>
      </c>
      <c r="U5" s="27" t="s">
        <v>113</v>
      </c>
      <c r="V5" s="20"/>
      <c r="W5" s="20" t="s">
        <v>33</v>
      </c>
      <c r="X5" s="20">
        <f>[1]REFERENCE!$E$37</f>
        <v>0.59279999999999999</v>
      </c>
      <c r="Y5" s="21">
        <f t="shared" ref="Y5:Y66" si="4">T5*X5/1000</f>
        <v>1.2448799999999999E-2</v>
      </c>
      <c r="AA5" s="29">
        <v>2</v>
      </c>
      <c r="AB5" s="30">
        <v>44719</v>
      </c>
      <c r="AC5" s="31" t="s">
        <v>39</v>
      </c>
      <c r="AD5" s="32">
        <v>23750</v>
      </c>
      <c r="AE5" s="20" t="s">
        <v>32</v>
      </c>
      <c r="AF5" s="33" t="s">
        <v>34</v>
      </c>
      <c r="AG5" s="20">
        <v>702</v>
      </c>
      <c r="AH5" s="20"/>
      <c r="AI5" s="34">
        <f>[1]REFERENCE!$E$38</f>
        <v>9.9600000000000001E-3</v>
      </c>
      <c r="AJ5" s="21">
        <f t="shared" si="0"/>
        <v>0.16605810000000001</v>
      </c>
      <c r="AL5" s="16">
        <v>2</v>
      </c>
      <c r="AM5" s="30">
        <v>44719</v>
      </c>
      <c r="AN5" s="31" t="s">
        <v>39</v>
      </c>
      <c r="AO5" s="32">
        <v>23750</v>
      </c>
      <c r="AP5" s="33" t="s">
        <v>34</v>
      </c>
      <c r="AQ5" s="33" t="s">
        <v>40</v>
      </c>
      <c r="AR5" s="20" t="s">
        <v>114</v>
      </c>
      <c r="AS5" s="35">
        <v>3447</v>
      </c>
      <c r="AT5" s="36">
        <f t="shared" ref="AT5:AT68" si="5">AS5*1.852</f>
        <v>6383.8440000000001</v>
      </c>
      <c r="AU5" s="35">
        <f>[1]REFERENCE!$E$39</f>
        <v>8.3999999999999995E-3</v>
      </c>
      <c r="AV5" s="37">
        <f t="shared" si="1"/>
        <v>1.2735768780000001</v>
      </c>
      <c r="AX5" s="16">
        <v>2</v>
      </c>
      <c r="AY5" s="43"/>
      <c r="AZ5" s="40"/>
      <c r="BA5" s="44"/>
      <c r="BB5" s="18"/>
      <c r="BC5" s="18"/>
      <c r="BD5" s="35"/>
      <c r="BE5" s="20">
        <f>[1]REFERENCE!$E$40</f>
        <v>1.58</v>
      </c>
      <c r="BF5" s="41">
        <f t="shared" ref="BF5" si="6">BA5*BD5*BE5/10^6</f>
        <v>0</v>
      </c>
    </row>
    <row r="6" spans="1:112" ht="16.5" thickBot="1" x14ac:dyDescent="0.4">
      <c r="A6" s="16">
        <v>3</v>
      </c>
      <c r="B6" s="45">
        <v>44743</v>
      </c>
      <c r="C6" s="44" t="s">
        <v>28</v>
      </c>
      <c r="D6" s="19">
        <v>42402.48</v>
      </c>
      <c r="E6" s="20" t="s">
        <v>29</v>
      </c>
      <c r="F6" s="20" t="s">
        <v>41</v>
      </c>
      <c r="G6" s="20">
        <v>40</v>
      </c>
      <c r="H6" s="20">
        <f t="shared" si="2"/>
        <v>200</v>
      </c>
      <c r="I6" s="20"/>
      <c r="J6" s="20">
        <v>5</v>
      </c>
      <c r="K6" s="20">
        <f>[1]REFERENCE!$E$37</f>
        <v>0.59279999999999999</v>
      </c>
      <c r="L6" s="21">
        <f t="shared" si="3"/>
        <v>0.11856</v>
      </c>
      <c r="N6" s="16">
        <v>3</v>
      </c>
      <c r="O6" s="30">
        <v>44719</v>
      </c>
      <c r="P6" s="46" t="s">
        <v>39</v>
      </c>
      <c r="Q6" s="32">
        <v>25000</v>
      </c>
      <c r="R6" s="20" t="s">
        <v>32</v>
      </c>
      <c r="S6" s="20" t="s">
        <v>30</v>
      </c>
      <c r="T6" s="20">
        <v>21</v>
      </c>
      <c r="U6" s="27" t="s">
        <v>113</v>
      </c>
      <c r="V6" s="20"/>
      <c r="W6" s="20" t="s">
        <v>33</v>
      </c>
      <c r="X6" s="20">
        <f>[1]REFERENCE!$E$37</f>
        <v>0.59279999999999999</v>
      </c>
      <c r="Y6" s="21">
        <f t="shared" si="4"/>
        <v>1.2448799999999999E-2</v>
      </c>
      <c r="AA6" s="29">
        <v>3</v>
      </c>
      <c r="AB6" s="30">
        <v>44719</v>
      </c>
      <c r="AC6" s="46" t="s">
        <v>39</v>
      </c>
      <c r="AD6" s="32">
        <v>25000</v>
      </c>
      <c r="AE6" s="20" t="s">
        <v>32</v>
      </c>
      <c r="AF6" s="33" t="s">
        <v>34</v>
      </c>
      <c r="AG6" s="20">
        <v>702</v>
      </c>
      <c r="AH6" s="20"/>
      <c r="AI6" s="34">
        <f>[1]REFERENCE!$E$38</f>
        <v>9.9600000000000001E-3</v>
      </c>
      <c r="AJ6" s="21">
        <f t="shared" si="0"/>
        <v>0.17479800000000001</v>
      </c>
      <c r="AL6" s="16">
        <v>3</v>
      </c>
      <c r="AM6" s="30">
        <v>44719</v>
      </c>
      <c r="AN6" s="46" t="s">
        <v>39</v>
      </c>
      <c r="AO6" s="32">
        <v>25000</v>
      </c>
      <c r="AP6" s="33" t="s">
        <v>34</v>
      </c>
      <c r="AQ6" s="33" t="s">
        <v>40</v>
      </c>
      <c r="AR6" s="20" t="s">
        <v>114</v>
      </c>
      <c r="AS6" s="35">
        <v>3447</v>
      </c>
      <c r="AT6" s="36">
        <f t="shared" si="5"/>
        <v>6383.8440000000001</v>
      </c>
      <c r="AU6" s="35">
        <f>[1]REFERENCE!$E$39</f>
        <v>8.3999999999999995E-3</v>
      </c>
      <c r="AV6" s="37">
        <f t="shared" si="1"/>
        <v>1.34060724</v>
      </c>
      <c r="AX6" s="16"/>
      <c r="AY6" s="20"/>
      <c r="AZ6" s="20"/>
      <c r="BA6" s="20"/>
      <c r="BB6" s="20"/>
      <c r="BC6" s="20"/>
      <c r="BD6" s="20"/>
      <c r="BE6" s="20"/>
      <c r="BF6" s="41"/>
    </row>
    <row r="7" spans="1:112" ht="16.5" thickBot="1" x14ac:dyDescent="0.4">
      <c r="A7" s="16">
        <v>4</v>
      </c>
      <c r="B7" s="45">
        <v>44743</v>
      </c>
      <c r="C7" s="44"/>
      <c r="D7" s="19">
        <v>31179.09</v>
      </c>
      <c r="E7" s="20" t="s">
        <v>38</v>
      </c>
      <c r="F7" s="20" t="s">
        <v>30</v>
      </c>
      <c r="G7" s="20">
        <v>358</v>
      </c>
      <c r="H7" s="20">
        <f t="shared" si="2"/>
        <v>716</v>
      </c>
      <c r="I7" s="20"/>
      <c r="J7" s="20">
        <v>2</v>
      </c>
      <c r="K7" s="20">
        <f>[1]REFERENCE!$E$37</f>
        <v>0.59279999999999999</v>
      </c>
      <c r="L7" s="21">
        <f t="shared" si="3"/>
        <v>0.42444480000000001</v>
      </c>
      <c r="N7" s="16">
        <v>4</v>
      </c>
      <c r="O7" s="30">
        <v>44733</v>
      </c>
      <c r="P7" s="31" t="s">
        <v>42</v>
      </c>
      <c r="Q7" s="32">
        <v>9250</v>
      </c>
      <c r="R7" s="20" t="s">
        <v>32</v>
      </c>
      <c r="S7" s="20" t="s">
        <v>30</v>
      </c>
      <c r="T7" s="20">
        <v>21</v>
      </c>
      <c r="U7" s="27" t="s">
        <v>113</v>
      </c>
      <c r="V7" s="20"/>
      <c r="W7" s="20" t="s">
        <v>33</v>
      </c>
      <c r="X7" s="20">
        <f>[1]REFERENCE!$E$37</f>
        <v>0.59279999999999999</v>
      </c>
      <c r="Y7" s="21">
        <f t="shared" si="4"/>
        <v>1.2448799999999999E-2</v>
      </c>
      <c r="AA7" s="29">
        <v>4</v>
      </c>
      <c r="AB7" s="30">
        <v>44733</v>
      </c>
      <c r="AC7" s="31" t="s">
        <v>42</v>
      </c>
      <c r="AD7" s="32">
        <v>9250</v>
      </c>
      <c r="AE7" s="20" t="s">
        <v>32</v>
      </c>
      <c r="AF7" s="33" t="s">
        <v>34</v>
      </c>
      <c r="AG7" s="20">
        <v>702</v>
      </c>
      <c r="AH7" s="20"/>
      <c r="AI7" s="34">
        <f>[1]REFERENCE!$E$38</f>
        <v>9.9600000000000001E-3</v>
      </c>
      <c r="AJ7" s="21">
        <f t="shared" si="0"/>
        <v>6.4675259999999998E-2</v>
      </c>
      <c r="AL7" s="16">
        <v>4</v>
      </c>
      <c r="AM7" s="30">
        <v>44733</v>
      </c>
      <c r="AN7" s="31" t="s">
        <v>42</v>
      </c>
      <c r="AO7" s="32">
        <v>9250</v>
      </c>
      <c r="AP7" s="33" t="s">
        <v>34</v>
      </c>
      <c r="AQ7" s="47" t="s">
        <v>43</v>
      </c>
      <c r="AR7" s="20" t="s">
        <v>114</v>
      </c>
      <c r="AS7" s="49">
        <v>7082</v>
      </c>
      <c r="AT7" s="36">
        <f t="shared" si="5"/>
        <v>13115.864000000001</v>
      </c>
      <c r="AU7" s="35">
        <f>[1]REFERENCE!$E$39</f>
        <v>8.3999999999999995E-3</v>
      </c>
      <c r="AV7" s="37">
        <f t="shared" si="1"/>
        <v>1.0191026328000001</v>
      </c>
      <c r="AX7" s="16"/>
      <c r="AY7" s="43"/>
      <c r="AZ7" s="20"/>
      <c r="BA7" s="44"/>
      <c r="BB7" s="20"/>
      <c r="BC7" s="20"/>
      <c r="BD7" s="35"/>
      <c r="BE7" s="20"/>
      <c r="BF7" s="41"/>
    </row>
    <row r="8" spans="1:112" ht="16.5" thickBot="1" x14ac:dyDescent="0.4">
      <c r="A8" s="16">
        <v>5</v>
      </c>
      <c r="B8" s="45">
        <v>44743</v>
      </c>
      <c r="C8" s="44"/>
      <c r="D8" s="19">
        <v>16192</v>
      </c>
      <c r="E8" s="20" t="s">
        <v>38</v>
      </c>
      <c r="F8" s="20" t="s">
        <v>41</v>
      </c>
      <c r="G8" s="20">
        <v>164</v>
      </c>
      <c r="H8" s="20">
        <f t="shared" si="2"/>
        <v>164</v>
      </c>
      <c r="I8" s="20"/>
      <c r="J8" s="20">
        <v>1</v>
      </c>
      <c r="K8" s="20">
        <f>[1]REFERENCE!$E$37</f>
        <v>0.59279999999999999</v>
      </c>
      <c r="L8" s="21">
        <f t="shared" si="3"/>
        <v>9.7219200000000006E-2</v>
      </c>
      <c r="N8" s="16">
        <v>5</v>
      </c>
      <c r="O8" s="30">
        <v>44733</v>
      </c>
      <c r="P8" s="31" t="s">
        <v>44</v>
      </c>
      <c r="Q8" s="32">
        <v>24948</v>
      </c>
      <c r="R8" s="20" t="s">
        <v>32</v>
      </c>
      <c r="S8" s="20" t="s">
        <v>30</v>
      </c>
      <c r="T8" s="20">
        <v>21</v>
      </c>
      <c r="U8" s="27" t="s">
        <v>113</v>
      </c>
      <c r="V8" s="20"/>
      <c r="W8" s="20" t="s">
        <v>33</v>
      </c>
      <c r="X8" s="20">
        <f>[1]REFERENCE!$E$37</f>
        <v>0.59279999999999999</v>
      </c>
      <c r="Y8" s="21">
        <f t="shared" si="4"/>
        <v>1.2448799999999999E-2</v>
      </c>
      <c r="AA8" s="29">
        <v>5</v>
      </c>
      <c r="AB8" s="30">
        <v>44733</v>
      </c>
      <c r="AC8" s="31" t="s">
        <v>44</v>
      </c>
      <c r="AD8" s="32">
        <v>24948</v>
      </c>
      <c r="AE8" s="20" t="s">
        <v>32</v>
      </c>
      <c r="AF8" s="33" t="s">
        <v>34</v>
      </c>
      <c r="AG8" s="20">
        <v>702</v>
      </c>
      <c r="AH8" s="20"/>
      <c r="AI8" s="34">
        <f>[1]REFERENCE!$E$38</f>
        <v>9.9600000000000001E-3</v>
      </c>
      <c r="AJ8" s="21">
        <f t="shared" si="0"/>
        <v>0.17443442016000002</v>
      </c>
      <c r="AL8" s="16">
        <v>5</v>
      </c>
      <c r="AM8" s="30">
        <v>44733</v>
      </c>
      <c r="AN8" s="31" t="s">
        <v>44</v>
      </c>
      <c r="AO8" s="32">
        <v>24948</v>
      </c>
      <c r="AP8" s="33" t="s">
        <v>34</v>
      </c>
      <c r="AQ8" s="33" t="s">
        <v>35</v>
      </c>
      <c r="AR8" s="20" t="s">
        <v>114</v>
      </c>
      <c r="AS8" s="35">
        <v>9036</v>
      </c>
      <c r="AT8" s="36">
        <f t="shared" si="5"/>
        <v>16734.672000000002</v>
      </c>
      <c r="AU8" s="35">
        <f>[1]REFERENCE!$E$39</f>
        <v>8.3999999999999995E-3</v>
      </c>
      <c r="AV8" s="37">
        <f t="shared" si="1"/>
        <v>3.5069714152704003</v>
      </c>
      <c r="AX8" s="16"/>
      <c r="AY8" s="43"/>
      <c r="AZ8" s="20"/>
      <c r="BA8" s="44"/>
      <c r="BB8" s="20"/>
      <c r="BC8" s="20"/>
      <c r="BD8" s="35"/>
      <c r="BE8" s="20"/>
      <c r="BF8" s="41"/>
    </row>
    <row r="9" spans="1:112" ht="16.5" thickBot="1" x14ac:dyDescent="0.4">
      <c r="A9" s="16">
        <v>6</v>
      </c>
      <c r="B9" s="45">
        <v>44774</v>
      </c>
      <c r="C9" s="44"/>
      <c r="D9" s="19">
        <v>0</v>
      </c>
      <c r="E9" s="19">
        <v>0</v>
      </c>
      <c r="F9" s="19">
        <v>0</v>
      </c>
      <c r="G9" s="19">
        <v>0</v>
      </c>
      <c r="H9" s="20">
        <f t="shared" si="2"/>
        <v>0</v>
      </c>
      <c r="I9" s="20"/>
      <c r="J9" s="19">
        <v>0</v>
      </c>
      <c r="K9" s="20">
        <f>[1]REFERENCE!$E$37</f>
        <v>0.59279999999999999</v>
      </c>
      <c r="L9" s="21">
        <f t="shared" si="3"/>
        <v>0</v>
      </c>
      <c r="N9" s="16">
        <v>6</v>
      </c>
      <c r="O9" s="30">
        <v>44734</v>
      </c>
      <c r="P9" s="38" t="s">
        <v>45</v>
      </c>
      <c r="Q9" s="32">
        <v>25000</v>
      </c>
      <c r="R9" s="20" t="s">
        <v>32</v>
      </c>
      <c r="S9" s="20" t="s">
        <v>30</v>
      </c>
      <c r="T9" s="20">
        <v>21</v>
      </c>
      <c r="U9" s="27" t="s">
        <v>113</v>
      </c>
      <c r="V9" s="20"/>
      <c r="W9" s="20" t="s">
        <v>33</v>
      </c>
      <c r="X9" s="20">
        <f>[1]REFERENCE!$E$37</f>
        <v>0.59279999999999999</v>
      </c>
      <c r="Y9" s="21">
        <f t="shared" si="4"/>
        <v>1.2448799999999999E-2</v>
      </c>
      <c r="AA9" s="29">
        <v>6</v>
      </c>
      <c r="AB9" s="30">
        <v>44734</v>
      </c>
      <c r="AC9" s="31" t="s">
        <v>45</v>
      </c>
      <c r="AD9" s="32">
        <v>25000</v>
      </c>
      <c r="AE9" s="20" t="s">
        <v>32</v>
      </c>
      <c r="AF9" s="33" t="s">
        <v>34</v>
      </c>
      <c r="AG9" s="20">
        <v>702</v>
      </c>
      <c r="AH9" s="20"/>
      <c r="AI9" s="34">
        <f>[1]REFERENCE!$E$38</f>
        <v>9.9600000000000001E-3</v>
      </c>
      <c r="AJ9" s="21">
        <f t="shared" si="0"/>
        <v>0.17479800000000001</v>
      </c>
      <c r="AL9" s="16">
        <v>6</v>
      </c>
      <c r="AM9" s="30">
        <v>44734</v>
      </c>
      <c r="AN9" s="38" t="s">
        <v>45</v>
      </c>
      <c r="AO9" s="32">
        <v>25000</v>
      </c>
      <c r="AP9" s="33" t="s">
        <v>34</v>
      </c>
      <c r="AQ9" s="33" t="s">
        <v>35</v>
      </c>
      <c r="AR9" s="20" t="s">
        <v>114</v>
      </c>
      <c r="AS9" s="35">
        <v>9036</v>
      </c>
      <c r="AT9" s="36">
        <f t="shared" si="5"/>
        <v>16734.672000000002</v>
      </c>
      <c r="AU9" s="35">
        <f>[1]REFERENCE!$E$39</f>
        <v>8.3999999999999995E-3</v>
      </c>
      <c r="AV9" s="37">
        <f t="shared" si="1"/>
        <v>3.5142811200000001</v>
      </c>
      <c r="AX9" s="16"/>
      <c r="AY9" s="43"/>
      <c r="AZ9" s="20"/>
      <c r="BA9" s="44"/>
      <c r="BB9" s="20"/>
      <c r="BC9" s="20"/>
      <c r="BD9" s="35"/>
      <c r="BE9" s="20"/>
      <c r="BF9" s="41"/>
    </row>
    <row r="10" spans="1:112" ht="16.5" thickBot="1" x14ac:dyDescent="0.4">
      <c r="A10" s="16">
        <v>7</v>
      </c>
      <c r="B10" s="45">
        <v>44805</v>
      </c>
      <c r="C10" s="44" t="s">
        <v>28</v>
      </c>
      <c r="D10" s="19">
        <v>11115.7</v>
      </c>
      <c r="E10" s="20" t="s">
        <v>29</v>
      </c>
      <c r="F10" s="20" t="s">
        <v>30</v>
      </c>
      <c r="G10" s="20">
        <v>236</v>
      </c>
      <c r="H10" s="20">
        <f t="shared" si="2"/>
        <v>236</v>
      </c>
      <c r="I10" s="20"/>
      <c r="J10" s="20">
        <v>1</v>
      </c>
      <c r="K10" s="20">
        <f>[1]REFERENCE!$E$37</f>
        <v>0.59279999999999999</v>
      </c>
      <c r="L10" s="21">
        <f t="shared" si="3"/>
        <v>0.13990079999999999</v>
      </c>
      <c r="N10" s="16">
        <v>7</v>
      </c>
      <c r="O10" s="30">
        <v>44735</v>
      </c>
      <c r="P10" s="31" t="s">
        <v>46</v>
      </c>
      <c r="Q10" s="32">
        <v>24948</v>
      </c>
      <c r="R10" s="20" t="s">
        <v>32</v>
      </c>
      <c r="S10" s="20" t="s">
        <v>30</v>
      </c>
      <c r="T10" s="20">
        <v>21</v>
      </c>
      <c r="U10" s="27" t="s">
        <v>113</v>
      </c>
      <c r="V10" s="20"/>
      <c r="W10" s="20" t="s">
        <v>33</v>
      </c>
      <c r="X10" s="20">
        <f>[1]REFERENCE!$E$37</f>
        <v>0.59279999999999999</v>
      </c>
      <c r="Y10" s="21">
        <f t="shared" si="4"/>
        <v>1.2448799999999999E-2</v>
      </c>
      <c r="AA10" s="29">
        <v>7</v>
      </c>
      <c r="AB10" s="30">
        <v>44735</v>
      </c>
      <c r="AC10" s="31" t="s">
        <v>46</v>
      </c>
      <c r="AD10" s="32">
        <v>24948</v>
      </c>
      <c r="AE10" s="20" t="s">
        <v>32</v>
      </c>
      <c r="AF10" s="33" t="s">
        <v>34</v>
      </c>
      <c r="AG10" s="20">
        <v>702</v>
      </c>
      <c r="AH10" s="20"/>
      <c r="AI10" s="34">
        <f>[1]REFERENCE!$E$38</f>
        <v>9.9600000000000001E-3</v>
      </c>
      <c r="AJ10" s="21">
        <f t="shared" si="0"/>
        <v>0.17443442016000002</v>
      </c>
      <c r="AL10" s="16">
        <v>7</v>
      </c>
      <c r="AM10" s="30">
        <v>44735</v>
      </c>
      <c r="AN10" s="31" t="s">
        <v>46</v>
      </c>
      <c r="AO10" s="32">
        <v>24948</v>
      </c>
      <c r="AP10" s="33" t="s">
        <v>34</v>
      </c>
      <c r="AQ10" s="47" t="s">
        <v>35</v>
      </c>
      <c r="AR10" s="20" t="s">
        <v>114</v>
      </c>
      <c r="AS10" s="50">
        <v>9036</v>
      </c>
      <c r="AT10" s="36">
        <f t="shared" si="5"/>
        <v>16734.672000000002</v>
      </c>
      <c r="AU10" s="35">
        <f>[1]REFERENCE!$E$39</f>
        <v>8.3999999999999995E-3</v>
      </c>
      <c r="AV10" s="37">
        <f t="shared" si="1"/>
        <v>3.5069714152704003</v>
      </c>
      <c r="AX10" s="16"/>
      <c r="AY10" s="43"/>
      <c r="AZ10" s="20"/>
      <c r="BA10" s="44"/>
      <c r="BB10" s="20"/>
      <c r="BC10" s="20"/>
      <c r="BD10" s="35"/>
      <c r="BE10" s="20"/>
      <c r="BF10" s="41"/>
    </row>
    <row r="11" spans="1:112" ht="16.5" thickBot="1" x14ac:dyDescent="0.4">
      <c r="A11" s="16">
        <v>8</v>
      </c>
      <c r="B11" s="45">
        <v>44805</v>
      </c>
      <c r="C11" s="44"/>
      <c r="D11" s="19">
        <v>59657.97</v>
      </c>
      <c r="E11" s="20" t="s">
        <v>38</v>
      </c>
      <c r="F11" s="20" t="s">
        <v>30</v>
      </c>
      <c r="G11" s="20">
        <v>358</v>
      </c>
      <c r="H11" s="20">
        <f t="shared" si="2"/>
        <v>1432</v>
      </c>
      <c r="I11" s="20"/>
      <c r="J11" s="20">
        <v>4</v>
      </c>
      <c r="K11" s="20">
        <f>[1]REFERENCE!$E$37</f>
        <v>0.59279999999999999</v>
      </c>
      <c r="L11" s="21">
        <f t="shared" si="3"/>
        <v>0.84888960000000002</v>
      </c>
      <c r="N11" s="16">
        <v>8</v>
      </c>
      <c r="O11" s="30">
        <v>44744</v>
      </c>
      <c r="P11" s="31" t="s">
        <v>39</v>
      </c>
      <c r="Q11" s="32">
        <v>25000</v>
      </c>
      <c r="R11" s="20" t="s">
        <v>32</v>
      </c>
      <c r="S11" s="20" t="s">
        <v>30</v>
      </c>
      <c r="T11" s="20">
        <v>21</v>
      </c>
      <c r="U11" s="27" t="s">
        <v>113</v>
      </c>
      <c r="V11" s="20"/>
      <c r="W11" s="20" t="s">
        <v>33</v>
      </c>
      <c r="X11" s="20">
        <f>[1]REFERENCE!$E$37</f>
        <v>0.59279999999999999</v>
      </c>
      <c r="Y11" s="21">
        <f t="shared" si="4"/>
        <v>1.2448799999999999E-2</v>
      </c>
      <c r="AA11" s="29">
        <v>8</v>
      </c>
      <c r="AB11" s="30">
        <v>44744</v>
      </c>
      <c r="AC11" s="31" t="s">
        <v>39</v>
      </c>
      <c r="AD11" s="32">
        <v>25000</v>
      </c>
      <c r="AE11" s="20" t="s">
        <v>32</v>
      </c>
      <c r="AF11" s="33" t="s">
        <v>34</v>
      </c>
      <c r="AG11" s="20">
        <v>702</v>
      </c>
      <c r="AH11" s="20"/>
      <c r="AI11" s="34">
        <f>[1]REFERENCE!$E$38</f>
        <v>9.9600000000000001E-3</v>
      </c>
      <c r="AJ11" s="21">
        <f t="shared" si="0"/>
        <v>0.17479800000000001</v>
      </c>
      <c r="AL11" s="16">
        <v>8</v>
      </c>
      <c r="AM11" s="30">
        <v>44744</v>
      </c>
      <c r="AN11" s="31" t="s">
        <v>39</v>
      </c>
      <c r="AO11" s="32">
        <v>25000</v>
      </c>
      <c r="AP11" s="33" t="s">
        <v>34</v>
      </c>
      <c r="AQ11" s="47" t="s">
        <v>40</v>
      </c>
      <c r="AR11" s="20" t="s">
        <v>114</v>
      </c>
      <c r="AS11" s="50">
        <v>3447</v>
      </c>
      <c r="AT11" s="36">
        <f t="shared" si="5"/>
        <v>6383.8440000000001</v>
      </c>
      <c r="AU11" s="35">
        <f>[1]REFERENCE!$E$39</f>
        <v>8.3999999999999995E-3</v>
      </c>
      <c r="AV11" s="37">
        <f t="shared" si="1"/>
        <v>1.34060724</v>
      </c>
      <c r="AX11" s="16"/>
      <c r="AY11" s="43"/>
      <c r="AZ11" s="20"/>
      <c r="BA11" s="44"/>
      <c r="BB11" s="20"/>
      <c r="BC11" s="20"/>
      <c r="BD11" s="35"/>
      <c r="BE11" s="20"/>
      <c r="BF11" s="41"/>
    </row>
    <row r="12" spans="1:112" ht="16.5" thickBot="1" x14ac:dyDescent="0.4">
      <c r="A12" s="16">
        <v>9</v>
      </c>
      <c r="B12" s="45">
        <v>44835</v>
      </c>
      <c r="C12" s="44" t="s">
        <v>28</v>
      </c>
      <c r="D12" s="19">
        <v>14063.49</v>
      </c>
      <c r="E12" s="20" t="s">
        <v>38</v>
      </c>
      <c r="F12" s="20" t="s">
        <v>30</v>
      </c>
      <c r="G12" s="20">
        <v>358</v>
      </c>
      <c r="H12" s="20">
        <f t="shared" si="2"/>
        <v>358</v>
      </c>
      <c r="I12" s="20"/>
      <c r="J12" s="20">
        <v>1</v>
      </c>
      <c r="K12" s="20">
        <f>[1]REFERENCE!$E$37</f>
        <v>0.59279999999999999</v>
      </c>
      <c r="L12" s="21">
        <f t="shared" si="3"/>
        <v>0.21222240000000001</v>
      </c>
      <c r="N12" s="16">
        <v>9</v>
      </c>
      <c r="O12" s="30">
        <v>44755</v>
      </c>
      <c r="P12" s="31" t="s">
        <v>39</v>
      </c>
      <c r="Q12" s="32">
        <v>25000</v>
      </c>
      <c r="R12" s="20" t="s">
        <v>32</v>
      </c>
      <c r="S12" s="20" t="s">
        <v>30</v>
      </c>
      <c r="T12" s="20">
        <v>21</v>
      </c>
      <c r="U12" s="27" t="s">
        <v>113</v>
      </c>
      <c r="V12" s="20"/>
      <c r="W12" s="20" t="s">
        <v>33</v>
      </c>
      <c r="X12" s="20">
        <f>[1]REFERENCE!$E$37</f>
        <v>0.59279999999999999</v>
      </c>
      <c r="Y12" s="21">
        <f t="shared" si="4"/>
        <v>1.2448799999999999E-2</v>
      </c>
      <c r="AA12" s="29">
        <v>9</v>
      </c>
      <c r="AB12" s="30">
        <v>44755</v>
      </c>
      <c r="AC12" s="31" t="s">
        <v>39</v>
      </c>
      <c r="AD12" s="32">
        <v>25000</v>
      </c>
      <c r="AE12" s="20" t="s">
        <v>32</v>
      </c>
      <c r="AF12" s="33" t="s">
        <v>34</v>
      </c>
      <c r="AG12" s="20">
        <v>702</v>
      </c>
      <c r="AH12" s="20"/>
      <c r="AI12" s="34">
        <f>[1]REFERENCE!$E$38</f>
        <v>9.9600000000000001E-3</v>
      </c>
      <c r="AJ12" s="21">
        <f t="shared" si="0"/>
        <v>0.17479800000000001</v>
      </c>
      <c r="AL12" s="16">
        <v>9</v>
      </c>
      <c r="AM12" s="30">
        <v>44755</v>
      </c>
      <c r="AN12" s="31" t="s">
        <v>39</v>
      </c>
      <c r="AO12" s="32">
        <v>25000</v>
      </c>
      <c r="AP12" s="33" t="s">
        <v>34</v>
      </c>
      <c r="AQ12" s="33" t="s">
        <v>40</v>
      </c>
      <c r="AR12" s="20" t="s">
        <v>114</v>
      </c>
      <c r="AS12" s="35">
        <v>3447</v>
      </c>
      <c r="AT12" s="36">
        <f t="shared" si="5"/>
        <v>6383.8440000000001</v>
      </c>
      <c r="AU12" s="35">
        <f>[1]REFERENCE!$E$39</f>
        <v>8.3999999999999995E-3</v>
      </c>
      <c r="AV12" s="37">
        <f t="shared" si="1"/>
        <v>1.34060724</v>
      </c>
      <c r="AX12" s="16"/>
      <c r="AY12" s="43"/>
      <c r="AZ12" s="20"/>
      <c r="BA12" s="44"/>
      <c r="BB12" s="20"/>
      <c r="BC12" s="20"/>
      <c r="BD12" s="35"/>
      <c r="BE12" s="20"/>
      <c r="BF12" s="41"/>
    </row>
    <row r="13" spans="1:112" ht="16.5" thickBot="1" x14ac:dyDescent="0.4">
      <c r="A13" s="16">
        <v>10</v>
      </c>
      <c r="B13" s="45">
        <v>44835</v>
      </c>
      <c r="C13" s="44"/>
      <c r="D13" s="19">
        <v>42456.84</v>
      </c>
      <c r="E13" s="20" t="s">
        <v>38</v>
      </c>
      <c r="F13" s="20" t="s">
        <v>41</v>
      </c>
      <c r="G13" s="20">
        <v>164</v>
      </c>
      <c r="H13" s="20">
        <f t="shared" si="2"/>
        <v>492</v>
      </c>
      <c r="I13" s="20"/>
      <c r="J13" s="20">
        <v>3</v>
      </c>
      <c r="K13" s="20">
        <f>[1]REFERENCE!$E$37</f>
        <v>0.59279999999999999</v>
      </c>
      <c r="L13" s="21">
        <f t="shared" si="3"/>
        <v>0.29165760000000002</v>
      </c>
      <c r="N13" s="16">
        <v>10</v>
      </c>
      <c r="O13" s="30">
        <v>44756</v>
      </c>
      <c r="P13" s="31" t="s">
        <v>39</v>
      </c>
      <c r="Q13" s="32">
        <v>25000</v>
      </c>
      <c r="R13" s="20" t="s">
        <v>32</v>
      </c>
      <c r="S13" s="20" t="s">
        <v>30</v>
      </c>
      <c r="T13" s="20">
        <v>21</v>
      </c>
      <c r="U13" s="27" t="s">
        <v>113</v>
      </c>
      <c r="V13" s="20"/>
      <c r="W13" s="20" t="s">
        <v>33</v>
      </c>
      <c r="X13" s="20">
        <f>[1]REFERENCE!$E$37</f>
        <v>0.59279999999999999</v>
      </c>
      <c r="Y13" s="21">
        <f t="shared" si="4"/>
        <v>1.2448799999999999E-2</v>
      </c>
      <c r="AA13" s="29">
        <v>10</v>
      </c>
      <c r="AB13" s="30">
        <v>44756</v>
      </c>
      <c r="AC13" s="31" t="s">
        <v>39</v>
      </c>
      <c r="AD13" s="32">
        <v>25000</v>
      </c>
      <c r="AE13" s="20" t="s">
        <v>32</v>
      </c>
      <c r="AF13" s="33" t="s">
        <v>34</v>
      </c>
      <c r="AG13" s="20">
        <v>702</v>
      </c>
      <c r="AH13" s="20"/>
      <c r="AI13" s="34">
        <f>[1]REFERENCE!$E$38</f>
        <v>9.9600000000000001E-3</v>
      </c>
      <c r="AJ13" s="21">
        <f t="shared" si="0"/>
        <v>0.17479800000000001</v>
      </c>
      <c r="AL13" s="16">
        <v>10</v>
      </c>
      <c r="AM13" s="30">
        <v>44756</v>
      </c>
      <c r="AN13" s="31" t="s">
        <v>39</v>
      </c>
      <c r="AO13" s="32">
        <v>25000</v>
      </c>
      <c r="AP13" s="33" t="s">
        <v>34</v>
      </c>
      <c r="AQ13" s="47" t="s">
        <v>40</v>
      </c>
      <c r="AR13" s="20" t="s">
        <v>114</v>
      </c>
      <c r="AS13" s="51">
        <v>3447</v>
      </c>
      <c r="AT13" s="36">
        <f t="shared" si="5"/>
        <v>6383.8440000000001</v>
      </c>
      <c r="AU13" s="35">
        <f>[1]REFERENCE!$E$39</f>
        <v>8.3999999999999995E-3</v>
      </c>
      <c r="AV13" s="37">
        <f t="shared" si="1"/>
        <v>1.34060724</v>
      </c>
      <c r="AX13" s="16"/>
      <c r="AY13" s="43"/>
      <c r="AZ13" s="20"/>
      <c r="BA13" s="44"/>
      <c r="BB13" s="20"/>
      <c r="BC13" s="20"/>
      <c r="BD13" s="35"/>
      <c r="BE13" s="20"/>
      <c r="BF13" s="41"/>
    </row>
    <row r="14" spans="1:112" ht="16.5" thickBot="1" x14ac:dyDescent="0.4">
      <c r="A14" s="16">
        <v>11</v>
      </c>
      <c r="B14" s="45">
        <v>44866</v>
      </c>
      <c r="C14" s="52"/>
      <c r="D14" s="19">
        <v>11387.6</v>
      </c>
      <c r="E14" s="20" t="s">
        <v>29</v>
      </c>
      <c r="F14" s="20" t="s">
        <v>41</v>
      </c>
      <c r="G14" s="20">
        <v>40</v>
      </c>
      <c r="H14" s="20">
        <f t="shared" si="2"/>
        <v>40</v>
      </c>
      <c r="I14" s="20"/>
      <c r="J14" s="53">
        <v>1</v>
      </c>
      <c r="K14" s="20">
        <f>[1]REFERENCE!$E$37</f>
        <v>0.59279999999999999</v>
      </c>
      <c r="L14" s="21">
        <f t="shared" si="3"/>
        <v>2.3712E-2</v>
      </c>
      <c r="N14" s="16">
        <v>11</v>
      </c>
      <c r="O14" s="30">
        <v>44765</v>
      </c>
      <c r="P14" s="31" t="s">
        <v>47</v>
      </c>
      <c r="Q14" s="32">
        <v>24946.9</v>
      </c>
      <c r="R14" s="20" t="s">
        <v>32</v>
      </c>
      <c r="S14" s="20" t="s">
        <v>30</v>
      </c>
      <c r="T14" s="20">
        <v>21</v>
      </c>
      <c r="U14" s="27" t="s">
        <v>113</v>
      </c>
      <c r="V14" s="20"/>
      <c r="W14" s="20" t="s">
        <v>33</v>
      </c>
      <c r="X14" s="20">
        <f>[1]REFERENCE!$E$37</f>
        <v>0.59279999999999999</v>
      </c>
      <c r="Y14" s="21">
        <f t="shared" si="4"/>
        <v>1.2448799999999999E-2</v>
      </c>
      <c r="AA14" s="29">
        <v>11</v>
      </c>
      <c r="AB14" s="30">
        <v>44765</v>
      </c>
      <c r="AC14" s="31" t="s">
        <v>47</v>
      </c>
      <c r="AD14" s="32">
        <v>24946.9</v>
      </c>
      <c r="AE14" s="20" t="s">
        <v>32</v>
      </c>
      <c r="AF14" s="33" t="s">
        <v>34</v>
      </c>
      <c r="AG14" s="20">
        <v>702</v>
      </c>
      <c r="AH14" s="20"/>
      <c r="AI14" s="34">
        <f>[1]REFERENCE!$E$38</f>
        <v>9.9600000000000001E-3</v>
      </c>
      <c r="AJ14" s="21">
        <f t="shared" si="0"/>
        <v>0.174426729048</v>
      </c>
      <c r="AL14" s="16">
        <v>11</v>
      </c>
      <c r="AM14" s="30">
        <v>44765</v>
      </c>
      <c r="AN14" s="31" t="s">
        <v>47</v>
      </c>
      <c r="AO14" s="32">
        <v>24946.9</v>
      </c>
      <c r="AP14" s="33" t="s">
        <v>34</v>
      </c>
      <c r="AQ14" s="33" t="s">
        <v>35</v>
      </c>
      <c r="AR14" s="20" t="s">
        <v>114</v>
      </c>
      <c r="AS14" s="35">
        <v>9036</v>
      </c>
      <c r="AT14" s="36">
        <f t="shared" si="5"/>
        <v>16734.672000000002</v>
      </c>
      <c r="AU14" s="35">
        <f>[1]REFERENCE!$E$39</f>
        <v>8.3999999999999995E-3</v>
      </c>
      <c r="AV14" s="37">
        <f t="shared" si="1"/>
        <v>3.5068167869011204</v>
      </c>
      <c r="AX14" s="16"/>
      <c r="AY14" s="43"/>
      <c r="AZ14" s="20"/>
      <c r="BA14" s="44"/>
      <c r="BB14" s="20"/>
      <c r="BC14" s="20"/>
      <c r="BD14" s="35"/>
      <c r="BE14" s="20"/>
      <c r="BF14" s="41"/>
    </row>
    <row r="15" spans="1:112" ht="16.5" thickBot="1" x14ac:dyDescent="0.4">
      <c r="A15" s="16">
        <v>12</v>
      </c>
      <c r="B15" s="45">
        <v>44866</v>
      </c>
      <c r="C15" s="52"/>
      <c r="D15" s="19">
        <v>39542.65</v>
      </c>
      <c r="E15" s="20" t="s">
        <v>38</v>
      </c>
      <c r="F15" s="20" t="s">
        <v>41</v>
      </c>
      <c r="G15" s="20">
        <v>164</v>
      </c>
      <c r="H15" s="20">
        <f t="shared" si="2"/>
        <v>656</v>
      </c>
      <c r="I15" s="20"/>
      <c r="J15" s="53">
        <v>4</v>
      </c>
      <c r="K15" s="20">
        <f>[1]REFERENCE!$E$37</f>
        <v>0.59279999999999999</v>
      </c>
      <c r="L15" s="21">
        <f t="shared" si="3"/>
        <v>0.38887680000000002</v>
      </c>
      <c r="N15" s="16">
        <v>12</v>
      </c>
      <c r="O15" s="30">
        <v>44770</v>
      </c>
      <c r="P15" s="38" t="s">
        <v>48</v>
      </c>
      <c r="Q15" s="32">
        <v>5007.5231999999996</v>
      </c>
      <c r="R15" s="20" t="s">
        <v>32</v>
      </c>
      <c r="S15" s="20" t="s">
        <v>30</v>
      </c>
      <c r="T15" s="20">
        <v>21</v>
      </c>
      <c r="U15" s="27" t="s">
        <v>113</v>
      </c>
      <c r="V15" s="20"/>
      <c r="W15" s="20" t="s">
        <v>33</v>
      </c>
      <c r="X15" s="20">
        <f>[1]REFERENCE!$E$37</f>
        <v>0.59279999999999999</v>
      </c>
      <c r="Y15" s="21">
        <f t="shared" si="4"/>
        <v>1.2448799999999999E-2</v>
      </c>
      <c r="AA15" s="29">
        <v>12</v>
      </c>
      <c r="AB15" s="30">
        <v>44770</v>
      </c>
      <c r="AC15" s="31" t="s">
        <v>48</v>
      </c>
      <c r="AD15" s="32">
        <v>5007.5231999999996</v>
      </c>
      <c r="AE15" s="20" t="s">
        <v>32</v>
      </c>
      <c r="AF15" s="33" t="s">
        <v>34</v>
      </c>
      <c r="AG15" s="20">
        <v>702</v>
      </c>
      <c r="AH15" s="20"/>
      <c r="AI15" s="34">
        <f>[1]REFERENCE!$E$38</f>
        <v>9.9600000000000001E-3</v>
      </c>
      <c r="AJ15" s="21">
        <f t="shared" si="0"/>
        <v>3.5012201612544001E-2</v>
      </c>
      <c r="AL15" s="16">
        <v>12</v>
      </c>
      <c r="AM15" s="30">
        <v>44770</v>
      </c>
      <c r="AN15" s="38" t="s">
        <v>48</v>
      </c>
      <c r="AO15" s="32">
        <v>5007.5231999999996</v>
      </c>
      <c r="AP15" s="33" t="s">
        <v>34</v>
      </c>
      <c r="AQ15" s="33" t="s">
        <v>35</v>
      </c>
      <c r="AR15" s="20" t="s">
        <v>114</v>
      </c>
      <c r="AS15" s="35">
        <v>9036</v>
      </c>
      <c r="AT15" s="36">
        <f t="shared" si="5"/>
        <v>16734.672000000002</v>
      </c>
      <c r="AU15" s="35">
        <f>[1]REFERENCE!$E$39</f>
        <v>8.3999999999999995E-3</v>
      </c>
      <c r="AV15" s="37">
        <f t="shared" si="1"/>
        <v>0.7039137695888793</v>
      </c>
      <c r="AX15" s="16"/>
      <c r="AY15" s="43"/>
      <c r="AZ15" s="20"/>
      <c r="BA15" s="44"/>
      <c r="BB15" s="20"/>
      <c r="BC15" s="20"/>
      <c r="BD15" s="35"/>
      <c r="BE15" s="20"/>
      <c r="BF15" s="41"/>
    </row>
    <row r="16" spans="1:112" ht="16.5" thickBot="1" x14ac:dyDescent="0.4">
      <c r="A16" s="16">
        <v>13</v>
      </c>
      <c r="B16" s="45">
        <v>44866</v>
      </c>
      <c r="C16" s="52"/>
      <c r="D16" s="19">
        <v>67827.67</v>
      </c>
      <c r="E16" s="20" t="s">
        <v>38</v>
      </c>
      <c r="F16" s="20" t="s">
        <v>30</v>
      </c>
      <c r="G16" s="20">
        <v>358</v>
      </c>
      <c r="H16" s="20">
        <f t="shared" si="2"/>
        <v>1790</v>
      </c>
      <c r="I16" s="20"/>
      <c r="J16" s="53">
        <v>5</v>
      </c>
      <c r="K16" s="20">
        <f>[1]REFERENCE!$E$37</f>
        <v>0.59279999999999999</v>
      </c>
      <c r="L16" s="21">
        <f t="shared" si="3"/>
        <v>1.0611120000000001</v>
      </c>
      <c r="N16" s="16">
        <v>13</v>
      </c>
      <c r="O16" s="30">
        <v>44775</v>
      </c>
      <c r="P16" s="31" t="s">
        <v>47</v>
      </c>
      <c r="Q16" s="32">
        <v>24946.9</v>
      </c>
      <c r="R16" s="20" t="s">
        <v>32</v>
      </c>
      <c r="S16" s="20" t="s">
        <v>30</v>
      </c>
      <c r="T16" s="20">
        <v>21</v>
      </c>
      <c r="U16" s="27" t="s">
        <v>113</v>
      </c>
      <c r="V16" s="20"/>
      <c r="W16" s="20" t="s">
        <v>33</v>
      </c>
      <c r="X16" s="20">
        <f>[1]REFERENCE!$E$37</f>
        <v>0.59279999999999999</v>
      </c>
      <c r="Y16" s="21">
        <f t="shared" si="4"/>
        <v>1.2448799999999999E-2</v>
      </c>
      <c r="AA16" s="29">
        <v>13</v>
      </c>
      <c r="AB16" s="30">
        <v>44775</v>
      </c>
      <c r="AC16" s="31" t="s">
        <v>47</v>
      </c>
      <c r="AD16" s="32">
        <v>24946.9</v>
      </c>
      <c r="AE16" s="20" t="s">
        <v>32</v>
      </c>
      <c r="AF16" s="33" t="s">
        <v>34</v>
      </c>
      <c r="AG16" s="20">
        <v>702</v>
      </c>
      <c r="AH16" s="20"/>
      <c r="AI16" s="34">
        <f>[1]REFERENCE!$E$38</f>
        <v>9.9600000000000001E-3</v>
      </c>
      <c r="AJ16" s="21">
        <f t="shared" si="0"/>
        <v>0.174426729048</v>
      </c>
      <c r="AL16" s="16">
        <v>13</v>
      </c>
      <c r="AM16" s="30">
        <v>44775</v>
      </c>
      <c r="AN16" s="31" t="s">
        <v>47</v>
      </c>
      <c r="AO16" s="32">
        <v>24946.9</v>
      </c>
      <c r="AP16" s="33" t="s">
        <v>34</v>
      </c>
      <c r="AQ16" s="47" t="s">
        <v>35</v>
      </c>
      <c r="AR16" s="20" t="s">
        <v>114</v>
      </c>
      <c r="AS16" s="51">
        <v>9036</v>
      </c>
      <c r="AT16" s="36">
        <f t="shared" si="5"/>
        <v>16734.672000000002</v>
      </c>
      <c r="AU16" s="35">
        <f>[1]REFERENCE!$E$39</f>
        <v>8.3999999999999995E-3</v>
      </c>
      <c r="AV16" s="37">
        <f t="shared" si="1"/>
        <v>3.5068167869011204</v>
      </c>
      <c r="AX16" s="16"/>
      <c r="AY16" s="43"/>
      <c r="AZ16" s="20"/>
      <c r="BA16" s="44"/>
      <c r="BB16" s="20"/>
      <c r="BC16" s="20"/>
      <c r="BD16" s="35"/>
      <c r="BE16" s="20"/>
      <c r="BF16" s="41"/>
    </row>
    <row r="17" spans="1:58" ht="16.5" thickBot="1" x14ac:dyDescent="0.4">
      <c r="A17" s="16">
        <v>14</v>
      </c>
      <c r="B17" s="45">
        <v>44896</v>
      </c>
      <c r="C17" s="52" t="s">
        <v>28</v>
      </c>
      <c r="D17" s="19">
        <v>9518.7999999999993</v>
      </c>
      <c r="E17" s="20" t="s">
        <v>29</v>
      </c>
      <c r="F17" s="20" t="s">
        <v>30</v>
      </c>
      <c r="G17" s="20">
        <v>236</v>
      </c>
      <c r="H17" s="20">
        <f t="shared" si="2"/>
        <v>236</v>
      </c>
      <c r="I17" s="20"/>
      <c r="J17" s="53">
        <v>1</v>
      </c>
      <c r="K17" s="20">
        <f>[1]REFERENCE!$E$37</f>
        <v>0.59279999999999999</v>
      </c>
      <c r="L17" s="21">
        <f t="shared" si="3"/>
        <v>0.13990079999999999</v>
      </c>
      <c r="N17" s="16">
        <v>14</v>
      </c>
      <c r="O17" s="30">
        <v>44786</v>
      </c>
      <c r="P17" s="31" t="s">
        <v>49</v>
      </c>
      <c r="Q17" s="32">
        <v>25000</v>
      </c>
      <c r="R17" s="20" t="s">
        <v>32</v>
      </c>
      <c r="S17" s="20" t="s">
        <v>30</v>
      </c>
      <c r="T17" s="20">
        <v>21</v>
      </c>
      <c r="U17" s="27" t="s">
        <v>113</v>
      </c>
      <c r="V17" s="20"/>
      <c r="W17" s="20" t="s">
        <v>33</v>
      </c>
      <c r="X17" s="20">
        <f>[1]REFERENCE!$E$37</f>
        <v>0.59279999999999999</v>
      </c>
      <c r="Y17" s="21">
        <f t="shared" si="4"/>
        <v>1.2448799999999999E-2</v>
      </c>
      <c r="AA17" s="29">
        <v>14</v>
      </c>
      <c r="AB17" s="30">
        <v>44786</v>
      </c>
      <c r="AC17" s="31" t="s">
        <v>49</v>
      </c>
      <c r="AD17" s="32">
        <v>25000</v>
      </c>
      <c r="AE17" s="20" t="s">
        <v>32</v>
      </c>
      <c r="AF17" s="33" t="s">
        <v>34</v>
      </c>
      <c r="AG17" s="20">
        <v>702</v>
      </c>
      <c r="AH17" s="20"/>
      <c r="AI17" s="34">
        <f>[1]REFERENCE!$E$38</f>
        <v>9.9600000000000001E-3</v>
      </c>
      <c r="AJ17" s="21">
        <f t="shared" si="0"/>
        <v>0.17479800000000001</v>
      </c>
      <c r="AL17" s="16">
        <v>14</v>
      </c>
      <c r="AM17" s="30">
        <v>44786</v>
      </c>
      <c r="AN17" s="31" t="s">
        <v>49</v>
      </c>
      <c r="AO17" s="32">
        <v>25000</v>
      </c>
      <c r="AP17" s="33" t="s">
        <v>34</v>
      </c>
      <c r="AQ17" s="33" t="s">
        <v>40</v>
      </c>
      <c r="AR17" s="20" t="s">
        <v>114</v>
      </c>
      <c r="AS17" s="35">
        <v>3447</v>
      </c>
      <c r="AT17" s="36">
        <f t="shared" si="5"/>
        <v>6383.8440000000001</v>
      </c>
      <c r="AU17" s="35">
        <f>[1]REFERENCE!$E$39</f>
        <v>8.3999999999999995E-3</v>
      </c>
      <c r="AV17" s="37">
        <f t="shared" si="1"/>
        <v>1.34060724</v>
      </c>
      <c r="AX17" s="16"/>
      <c r="AY17" s="43"/>
      <c r="AZ17" s="20"/>
      <c r="BA17" s="44"/>
      <c r="BB17" s="20"/>
      <c r="BC17" s="20"/>
      <c r="BD17" s="35"/>
      <c r="BE17" s="20"/>
      <c r="BF17" s="41"/>
    </row>
    <row r="18" spans="1:58" ht="16.5" thickBot="1" x14ac:dyDescent="0.4">
      <c r="A18" s="16">
        <v>15</v>
      </c>
      <c r="B18" s="45">
        <v>44896</v>
      </c>
      <c r="C18" s="52"/>
      <c r="D18" s="19">
        <v>9705.2000000000007</v>
      </c>
      <c r="E18" s="20" t="s">
        <v>29</v>
      </c>
      <c r="F18" s="20" t="s">
        <v>41</v>
      </c>
      <c r="G18" s="20">
        <v>40</v>
      </c>
      <c r="H18" s="20">
        <f t="shared" si="2"/>
        <v>80</v>
      </c>
      <c r="I18" s="20"/>
      <c r="J18" s="53">
        <v>2</v>
      </c>
      <c r="K18" s="20">
        <f>[1]REFERENCE!$E$37</f>
        <v>0.59279999999999999</v>
      </c>
      <c r="L18" s="21">
        <f t="shared" si="3"/>
        <v>4.7424000000000001E-2</v>
      </c>
      <c r="N18" s="16">
        <v>15</v>
      </c>
      <c r="O18" s="30">
        <v>44805</v>
      </c>
      <c r="P18" s="31" t="s">
        <v>50</v>
      </c>
      <c r="Q18" s="32">
        <v>24948</v>
      </c>
      <c r="R18" s="20" t="s">
        <v>32</v>
      </c>
      <c r="S18" s="20" t="s">
        <v>30</v>
      </c>
      <c r="T18" s="20">
        <v>21</v>
      </c>
      <c r="U18" s="27" t="s">
        <v>113</v>
      </c>
      <c r="V18" s="20"/>
      <c r="W18" s="20" t="s">
        <v>33</v>
      </c>
      <c r="X18" s="20">
        <f>[1]REFERENCE!$E$37</f>
        <v>0.59279999999999999</v>
      </c>
      <c r="Y18" s="21">
        <f t="shared" si="4"/>
        <v>1.2448799999999999E-2</v>
      </c>
      <c r="AA18" s="29">
        <v>15</v>
      </c>
      <c r="AB18" s="30">
        <v>44805</v>
      </c>
      <c r="AC18" s="46" t="s">
        <v>50</v>
      </c>
      <c r="AD18" s="32">
        <v>24948</v>
      </c>
      <c r="AE18" s="20" t="s">
        <v>32</v>
      </c>
      <c r="AF18" s="33" t="s">
        <v>34</v>
      </c>
      <c r="AG18" s="20">
        <v>702</v>
      </c>
      <c r="AH18" s="20"/>
      <c r="AI18" s="34">
        <f>[1]REFERENCE!$E$38</f>
        <v>9.9600000000000001E-3</v>
      </c>
      <c r="AJ18" s="21">
        <f t="shared" si="0"/>
        <v>0.17443442016000002</v>
      </c>
      <c r="AL18" s="16">
        <v>15</v>
      </c>
      <c r="AM18" s="30">
        <v>44805</v>
      </c>
      <c r="AN18" s="31" t="s">
        <v>50</v>
      </c>
      <c r="AO18" s="32">
        <v>24948</v>
      </c>
      <c r="AP18" s="33" t="s">
        <v>34</v>
      </c>
      <c r="AQ18" s="33" t="s">
        <v>35</v>
      </c>
      <c r="AR18" s="20" t="s">
        <v>114</v>
      </c>
      <c r="AS18" s="35">
        <v>9036</v>
      </c>
      <c r="AT18" s="36">
        <f t="shared" si="5"/>
        <v>16734.672000000002</v>
      </c>
      <c r="AU18" s="35">
        <f>[1]REFERENCE!$E$39</f>
        <v>8.3999999999999995E-3</v>
      </c>
      <c r="AV18" s="37">
        <f t="shared" si="1"/>
        <v>3.5069714152704003</v>
      </c>
      <c r="AX18" s="16"/>
      <c r="AY18" s="43"/>
      <c r="AZ18" s="20"/>
      <c r="BA18" s="44"/>
      <c r="BB18" s="20"/>
      <c r="BC18" s="20"/>
      <c r="BD18" s="35"/>
      <c r="BE18" s="20"/>
      <c r="BF18" s="41"/>
    </row>
    <row r="19" spans="1:58" ht="16.5" thickBot="1" x14ac:dyDescent="0.4">
      <c r="A19" s="16">
        <v>16</v>
      </c>
      <c r="B19" s="45">
        <v>44896</v>
      </c>
      <c r="C19" s="52"/>
      <c r="D19" s="19">
        <v>28934.17</v>
      </c>
      <c r="E19" s="20" t="s">
        <v>38</v>
      </c>
      <c r="F19" s="20" t="s">
        <v>41</v>
      </c>
      <c r="G19" s="20">
        <v>164</v>
      </c>
      <c r="H19" s="20">
        <f t="shared" si="2"/>
        <v>328</v>
      </c>
      <c r="I19" s="20"/>
      <c r="J19" s="53">
        <v>2</v>
      </c>
      <c r="K19" s="20">
        <f>[1]REFERENCE!$E$37</f>
        <v>0.59279999999999999</v>
      </c>
      <c r="L19" s="21">
        <f t="shared" si="3"/>
        <v>0.19443840000000001</v>
      </c>
      <c r="N19" s="16">
        <v>16</v>
      </c>
      <c r="O19" s="30">
        <v>44807</v>
      </c>
      <c r="P19" s="31" t="s">
        <v>46</v>
      </c>
      <c r="Q19" s="32">
        <v>24948</v>
      </c>
      <c r="R19" s="20" t="s">
        <v>32</v>
      </c>
      <c r="S19" s="20" t="s">
        <v>30</v>
      </c>
      <c r="T19" s="20">
        <v>21</v>
      </c>
      <c r="U19" s="27" t="s">
        <v>113</v>
      </c>
      <c r="V19" s="20"/>
      <c r="W19" s="20" t="s">
        <v>33</v>
      </c>
      <c r="X19" s="20">
        <f>[1]REFERENCE!$E$37</f>
        <v>0.59279999999999999</v>
      </c>
      <c r="Y19" s="21">
        <f t="shared" si="4"/>
        <v>1.2448799999999999E-2</v>
      </c>
      <c r="AA19" s="29">
        <v>16</v>
      </c>
      <c r="AB19" s="30">
        <v>44807</v>
      </c>
      <c r="AC19" s="31" t="s">
        <v>46</v>
      </c>
      <c r="AD19" s="32">
        <v>24948</v>
      </c>
      <c r="AE19" s="20" t="s">
        <v>32</v>
      </c>
      <c r="AF19" s="33" t="s">
        <v>34</v>
      </c>
      <c r="AG19" s="20">
        <v>702</v>
      </c>
      <c r="AH19" s="20"/>
      <c r="AI19" s="34">
        <f>[1]REFERENCE!$E$38</f>
        <v>9.9600000000000001E-3</v>
      </c>
      <c r="AJ19" s="21">
        <f t="shared" si="0"/>
        <v>0.17443442016000002</v>
      </c>
      <c r="AL19" s="16">
        <v>16</v>
      </c>
      <c r="AM19" s="30">
        <v>44807</v>
      </c>
      <c r="AN19" s="31" t="s">
        <v>46</v>
      </c>
      <c r="AO19" s="32">
        <v>24948</v>
      </c>
      <c r="AP19" s="33" t="s">
        <v>34</v>
      </c>
      <c r="AQ19" s="33" t="s">
        <v>35</v>
      </c>
      <c r="AR19" s="20" t="s">
        <v>114</v>
      </c>
      <c r="AS19" s="35">
        <v>9036</v>
      </c>
      <c r="AT19" s="36">
        <f t="shared" si="5"/>
        <v>16734.672000000002</v>
      </c>
      <c r="AU19" s="35">
        <f>[1]REFERENCE!$E$39</f>
        <v>8.3999999999999995E-3</v>
      </c>
      <c r="AV19" s="37">
        <f t="shared" si="1"/>
        <v>3.5069714152704003</v>
      </c>
      <c r="AX19" s="16"/>
      <c r="AY19" s="43"/>
      <c r="AZ19" s="20"/>
      <c r="BA19" s="44"/>
      <c r="BB19" s="20"/>
      <c r="BC19" s="20"/>
      <c r="BD19" s="35"/>
      <c r="BE19" s="20"/>
      <c r="BF19" s="41"/>
    </row>
    <row r="20" spans="1:58" ht="16.5" thickBot="1" x14ac:dyDescent="0.4">
      <c r="A20" s="16">
        <v>17</v>
      </c>
      <c r="B20" s="45">
        <v>44927</v>
      </c>
      <c r="C20" s="44" t="s">
        <v>28</v>
      </c>
      <c r="D20" s="19">
        <v>9933.4</v>
      </c>
      <c r="E20" s="20" t="s">
        <v>29</v>
      </c>
      <c r="F20" s="20" t="s">
        <v>30</v>
      </c>
      <c r="G20" s="20">
        <v>236</v>
      </c>
      <c r="H20" s="20">
        <f t="shared" si="2"/>
        <v>236</v>
      </c>
      <c r="I20" s="20"/>
      <c r="J20" s="20">
        <v>1</v>
      </c>
      <c r="K20" s="20">
        <f>[1]REFERENCE!$E$37</f>
        <v>0.59279999999999999</v>
      </c>
      <c r="L20" s="21">
        <f t="shared" si="3"/>
        <v>0.13990079999999999</v>
      </c>
      <c r="N20" s="16">
        <v>17</v>
      </c>
      <c r="O20" s="30">
        <v>44816</v>
      </c>
      <c r="P20" s="31" t="s">
        <v>51</v>
      </c>
      <c r="Q20" s="32">
        <v>12500</v>
      </c>
      <c r="R20" s="20" t="s">
        <v>32</v>
      </c>
      <c r="S20" s="20" t="s">
        <v>30</v>
      </c>
      <c r="T20" s="20">
        <v>21</v>
      </c>
      <c r="U20" s="27" t="s">
        <v>113</v>
      </c>
      <c r="V20" s="20"/>
      <c r="W20" s="20" t="s">
        <v>33</v>
      </c>
      <c r="X20" s="20">
        <f>[1]REFERENCE!$E$37</f>
        <v>0.59279999999999999</v>
      </c>
      <c r="Y20" s="21">
        <f t="shared" si="4"/>
        <v>1.2448799999999999E-2</v>
      </c>
      <c r="AA20" s="29">
        <v>17</v>
      </c>
      <c r="AB20" s="30">
        <v>44816</v>
      </c>
      <c r="AC20" s="31" t="s">
        <v>51</v>
      </c>
      <c r="AD20" s="32">
        <v>12500</v>
      </c>
      <c r="AE20" s="20" t="s">
        <v>32</v>
      </c>
      <c r="AF20" s="33" t="s">
        <v>34</v>
      </c>
      <c r="AG20" s="20">
        <v>702</v>
      </c>
      <c r="AH20" s="20"/>
      <c r="AI20" s="34">
        <f>[1]REFERENCE!$E$38</f>
        <v>9.9600000000000001E-3</v>
      </c>
      <c r="AJ20" s="21">
        <f t="shared" si="0"/>
        <v>8.7399000000000004E-2</v>
      </c>
      <c r="AL20" s="16">
        <v>17</v>
      </c>
      <c r="AM20" s="30">
        <v>44816</v>
      </c>
      <c r="AN20" s="31" t="s">
        <v>51</v>
      </c>
      <c r="AO20" s="32">
        <v>12500</v>
      </c>
      <c r="AP20" s="33" t="s">
        <v>34</v>
      </c>
      <c r="AQ20" s="33" t="s">
        <v>52</v>
      </c>
      <c r="AR20" s="20" t="s">
        <v>115</v>
      </c>
      <c r="AS20" s="35">
        <v>7082</v>
      </c>
      <c r="AT20" s="36">
        <f t="shared" si="5"/>
        <v>13115.864000000001</v>
      </c>
      <c r="AU20" s="35">
        <f>[1]REFERENCE!$E$39</f>
        <v>8.3999999999999995E-3</v>
      </c>
      <c r="AV20" s="37">
        <f t="shared" si="1"/>
        <v>1.3771657200000003</v>
      </c>
      <c r="AX20" s="16"/>
      <c r="AY20" s="43"/>
      <c r="AZ20" s="20"/>
      <c r="BA20" s="44"/>
      <c r="BB20" s="20"/>
      <c r="BC20" s="20"/>
      <c r="BD20" s="35"/>
      <c r="BE20" s="20"/>
      <c r="BF20" s="41"/>
    </row>
    <row r="21" spans="1:58" ht="16.5" thickBot="1" x14ac:dyDescent="0.4">
      <c r="A21" s="16">
        <v>18</v>
      </c>
      <c r="B21" s="45">
        <v>44927</v>
      </c>
      <c r="C21" s="44"/>
      <c r="D21" s="19">
        <v>20648.41</v>
      </c>
      <c r="E21" s="20" t="s">
        <v>38</v>
      </c>
      <c r="F21" s="20" t="s">
        <v>30</v>
      </c>
      <c r="G21" s="20">
        <v>358</v>
      </c>
      <c r="H21" s="20">
        <f t="shared" si="2"/>
        <v>1074</v>
      </c>
      <c r="I21" s="20"/>
      <c r="J21" s="20">
        <v>3</v>
      </c>
      <c r="K21" s="20">
        <f>[1]REFERENCE!$E$37</f>
        <v>0.59279999999999999</v>
      </c>
      <c r="L21" s="21">
        <f t="shared" si="3"/>
        <v>0.63666719999999999</v>
      </c>
      <c r="N21" s="16">
        <v>18</v>
      </c>
      <c r="O21" s="30">
        <v>44816</v>
      </c>
      <c r="P21" s="31" t="s">
        <v>51</v>
      </c>
      <c r="Q21" s="32">
        <v>12500</v>
      </c>
      <c r="R21" s="20" t="s">
        <v>32</v>
      </c>
      <c r="S21" s="20" t="s">
        <v>30</v>
      </c>
      <c r="T21" s="20">
        <v>21</v>
      </c>
      <c r="U21" s="27" t="s">
        <v>113</v>
      </c>
      <c r="V21" s="20"/>
      <c r="W21" s="20" t="s">
        <v>33</v>
      </c>
      <c r="X21" s="20">
        <f>[1]REFERENCE!$E$37</f>
        <v>0.59279999999999999</v>
      </c>
      <c r="Y21" s="21">
        <f t="shared" si="4"/>
        <v>1.2448799999999999E-2</v>
      </c>
      <c r="AA21" s="29">
        <v>18</v>
      </c>
      <c r="AB21" s="30">
        <v>44816</v>
      </c>
      <c r="AC21" s="31" t="s">
        <v>51</v>
      </c>
      <c r="AD21" s="32">
        <v>12500</v>
      </c>
      <c r="AE21" s="20" t="s">
        <v>32</v>
      </c>
      <c r="AF21" s="33" t="s">
        <v>34</v>
      </c>
      <c r="AG21" s="20">
        <v>702</v>
      </c>
      <c r="AH21" s="20"/>
      <c r="AI21" s="34">
        <f>[1]REFERENCE!$E$38</f>
        <v>9.9600000000000001E-3</v>
      </c>
      <c r="AJ21" s="21">
        <f t="shared" si="0"/>
        <v>8.7399000000000004E-2</v>
      </c>
      <c r="AL21" s="16">
        <v>18</v>
      </c>
      <c r="AM21" s="30">
        <v>44816</v>
      </c>
      <c r="AN21" s="31" t="s">
        <v>51</v>
      </c>
      <c r="AO21" s="32">
        <v>12500</v>
      </c>
      <c r="AP21" s="33" t="s">
        <v>34</v>
      </c>
      <c r="AQ21" s="47" t="s">
        <v>52</v>
      </c>
      <c r="AR21" s="20" t="s">
        <v>115</v>
      </c>
      <c r="AS21" s="49">
        <v>7082</v>
      </c>
      <c r="AT21" s="36">
        <f t="shared" si="5"/>
        <v>13115.864000000001</v>
      </c>
      <c r="AU21" s="35">
        <f>[1]REFERENCE!$E$39</f>
        <v>8.3999999999999995E-3</v>
      </c>
      <c r="AV21" s="37">
        <f t="shared" si="1"/>
        <v>1.3771657200000003</v>
      </c>
      <c r="AX21" s="16"/>
      <c r="AY21" s="43"/>
      <c r="AZ21" s="20"/>
      <c r="BA21" s="44"/>
      <c r="BB21" s="20"/>
      <c r="BC21" s="20"/>
      <c r="BD21" s="35"/>
      <c r="BE21" s="20"/>
      <c r="BF21" s="41"/>
    </row>
    <row r="22" spans="1:58" ht="16.5" thickBot="1" x14ac:dyDescent="0.4">
      <c r="A22" s="16">
        <v>19</v>
      </c>
      <c r="B22" s="45">
        <v>44958</v>
      </c>
      <c r="C22" s="44" t="s">
        <v>28</v>
      </c>
      <c r="D22" s="19">
        <v>16024.8</v>
      </c>
      <c r="E22" s="20" t="s">
        <v>29</v>
      </c>
      <c r="F22" s="20" t="s">
        <v>30</v>
      </c>
      <c r="G22" s="20">
        <v>236</v>
      </c>
      <c r="H22" s="20">
        <f t="shared" si="2"/>
        <v>472</v>
      </c>
      <c r="I22" s="20"/>
      <c r="J22" s="20">
        <v>2</v>
      </c>
      <c r="K22" s="20">
        <f>[1]REFERENCE!$E$37</f>
        <v>0.59279999999999999</v>
      </c>
      <c r="L22" s="21">
        <f t="shared" si="3"/>
        <v>0.27980159999999998</v>
      </c>
      <c r="N22" s="16">
        <v>19</v>
      </c>
      <c r="O22" s="30">
        <v>44819</v>
      </c>
      <c r="P22" s="38" t="s">
        <v>39</v>
      </c>
      <c r="Q22" s="32">
        <v>25000</v>
      </c>
      <c r="R22" s="20" t="s">
        <v>32</v>
      </c>
      <c r="S22" s="20" t="s">
        <v>30</v>
      </c>
      <c r="T22" s="20">
        <v>21</v>
      </c>
      <c r="U22" s="27" t="s">
        <v>113</v>
      </c>
      <c r="V22" s="20"/>
      <c r="W22" s="20" t="s">
        <v>33</v>
      </c>
      <c r="X22" s="20">
        <f>[1]REFERENCE!$E$37</f>
        <v>0.59279999999999999</v>
      </c>
      <c r="Y22" s="21">
        <f t="shared" si="4"/>
        <v>1.2448799999999999E-2</v>
      </c>
      <c r="AA22" s="29">
        <v>19</v>
      </c>
      <c r="AB22" s="30">
        <v>44819</v>
      </c>
      <c r="AC22" s="46" t="s">
        <v>39</v>
      </c>
      <c r="AD22" s="32">
        <v>25000</v>
      </c>
      <c r="AE22" s="20" t="s">
        <v>32</v>
      </c>
      <c r="AF22" s="33" t="s">
        <v>34</v>
      </c>
      <c r="AG22" s="20">
        <v>702</v>
      </c>
      <c r="AH22" s="20"/>
      <c r="AI22" s="34">
        <f>[1]REFERENCE!$E$38</f>
        <v>9.9600000000000001E-3</v>
      </c>
      <c r="AJ22" s="21">
        <f t="shared" si="0"/>
        <v>0.17479800000000001</v>
      </c>
      <c r="AL22" s="16">
        <v>19</v>
      </c>
      <c r="AM22" s="30">
        <v>44819</v>
      </c>
      <c r="AN22" s="38" t="s">
        <v>39</v>
      </c>
      <c r="AO22" s="32">
        <v>25000</v>
      </c>
      <c r="AP22" s="33" t="s">
        <v>34</v>
      </c>
      <c r="AQ22" s="33" t="s">
        <v>40</v>
      </c>
      <c r="AR22" s="20" t="s">
        <v>114</v>
      </c>
      <c r="AS22" s="35">
        <v>3447</v>
      </c>
      <c r="AT22" s="36">
        <f t="shared" si="5"/>
        <v>6383.8440000000001</v>
      </c>
      <c r="AU22" s="35">
        <f>[1]REFERENCE!$E$39</f>
        <v>8.3999999999999995E-3</v>
      </c>
      <c r="AV22" s="37">
        <f t="shared" si="1"/>
        <v>1.34060724</v>
      </c>
      <c r="AX22" s="16"/>
      <c r="AY22" s="43"/>
      <c r="AZ22" s="20"/>
      <c r="BA22" s="44"/>
      <c r="BB22" s="20"/>
      <c r="BC22" s="20"/>
      <c r="BD22" s="35"/>
      <c r="BE22" s="20"/>
      <c r="BF22" s="41"/>
    </row>
    <row r="23" spans="1:58" ht="16.5" thickBot="1" x14ac:dyDescent="0.4">
      <c r="A23" s="16">
        <v>20</v>
      </c>
      <c r="B23" s="45">
        <v>44958</v>
      </c>
      <c r="C23" s="44"/>
      <c r="D23" s="19">
        <v>63641.700000000004</v>
      </c>
      <c r="E23" s="20" t="s">
        <v>38</v>
      </c>
      <c r="F23" s="54" t="s">
        <v>30</v>
      </c>
      <c r="G23" s="20">
        <v>358</v>
      </c>
      <c r="H23" s="20">
        <f t="shared" si="2"/>
        <v>2148</v>
      </c>
      <c r="I23" s="20"/>
      <c r="J23" s="54">
        <v>6</v>
      </c>
      <c r="K23" s="20">
        <f>[1]REFERENCE!$E$37</f>
        <v>0.59279999999999999</v>
      </c>
      <c r="L23" s="21">
        <f t="shared" si="3"/>
        <v>1.2733344</v>
      </c>
      <c r="N23" s="16">
        <v>20</v>
      </c>
      <c r="O23" s="30">
        <v>44821</v>
      </c>
      <c r="P23" s="46" t="s">
        <v>45</v>
      </c>
      <c r="Q23" s="32">
        <v>24948</v>
      </c>
      <c r="R23" s="20" t="s">
        <v>32</v>
      </c>
      <c r="S23" s="20" t="s">
        <v>30</v>
      </c>
      <c r="T23" s="20">
        <v>21</v>
      </c>
      <c r="U23" s="27" t="s">
        <v>113</v>
      </c>
      <c r="V23" s="20"/>
      <c r="W23" s="20" t="s">
        <v>33</v>
      </c>
      <c r="X23" s="20">
        <f>[1]REFERENCE!$E$37</f>
        <v>0.59279999999999999</v>
      </c>
      <c r="Y23" s="21">
        <f t="shared" si="4"/>
        <v>1.2448799999999999E-2</v>
      </c>
      <c r="AA23" s="29">
        <v>20</v>
      </c>
      <c r="AB23" s="30">
        <v>44821</v>
      </c>
      <c r="AC23" s="31" t="s">
        <v>45</v>
      </c>
      <c r="AD23" s="32">
        <v>24948</v>
      </c>
      <c r="AE23" s="20" t="s">
        <v>32</v>
      </c>
      <c r="AF23" s="33" t="s">
        <v>34</v>
      </c>
      <c r="AG23" s="20">
        <v>702</v>
      </c>
      <c r="AH23" s="20"/>
      <c r="AI23" s="34">
        <f>[1]REFERENCE!$E$38</f>
        <v>9.9600000000000001E-3</v>
      </c>
      <c r="AJ23" s="21">
        <f t="shared" si="0"/>
        <v>0.17443442016000002</v>
      </c>
      <c r="AL23" s="16">
        <v>20</v>
      </c>
      <c r="AM23" s="30">
        <v>44821</v>
      </c>
      <c r="AN23" s="46" t="s">
        <v>45</v>
      </c>
      <c r="AO23" s="32">
        <v>24948</v>
      </c>
      <c r="AP23" s="33" t="s">
        <v>34</v>
      </c>
      <c r="AQ23" s="33" t="s">
        <v>35</v>
      </c>
      <c r="AR23" s="20" t="s">
        <v>114</v>
      </c>
      <c r="AS23" s="35">
        <v>9036</v>
      </c>
      <c r="AT23" s="36">
        <f t="shared" si="5"/>
        <v>16734.672000000002</v>
      </c>
      <c r="AU23" s="35">
        <f>[1]REFERENCE!$E$39</f>
        <v>8.3999999999999995E-3</v>
      </c>
      <c r="AV23" s="37">
        <f t="shared" si="1"/>
        <v>3.5069714152704003</v>
      </c>
      <c r="AX23" s="16"/>
      <c r="AY23" s="43"/>
      <c r="AZ23" s="20"/>
      <c r="BA23" s="44"/>
      <c r="BB23" s="20"/>
      <c r="BC23" s="20"/>
      <c r="BD23" s="35"/>
      <c r="BE23" s="20"/>
      <c r="BF23" s="41"/>
    </row>
    <row r="24" spans="1:58" ht="16.5" thickBot="1" x14ac:dyDescent="0.4">
      <c r="A24" s="16">
        <v>21</v>
      </c>
      <c r="B24" s="45">
        <v>44986</v>
      </c>
      <c r="C24" s="44"/>
      <c r="D24" s="19">
        <v>21297</v>
      </c>
      <c r="E24" s="20" t="s">
        <v>29</v>
      </c>
      <c r="F24" s="20" t="s">
        <v>30</v>
      </c>
      <c r="G24" s="20">
        <v>236</v>
      </c>
      <c r="H24" s="20">
        <f t="shared" si="2"/>
        <v>472</v>
      </c>
      <c r="I24" s="20"/>
      <c r="J24" s="20">
        <v>2</v>
      </c>
      <c r="K24" s="20">
        <f>[1]REFERENCE!$E$37</f>
        <v>0.59279999999999999</v>
      </c>
      <c r="L24" s="21">
        <f t="shared" si="3"/>
        <v>0.27980159999999998</v>
      </c>
      <c r="N24" s="16">
        <v>21</v>
      </c>
      <c r="O24" s="30">
        <v>44826</v>
      </c>
      <c r="P24" s="31" t="s">
        <v>42</v>
      </c>
      <c r="Q24" s="32">
        <v>17250</v>
      </c>
      <c r="R24" s="20" t="s">
        <v>32</v>
      </c>
      <c r="S24" s="20" t="s">
        <v>30</v>
      </c>
      <c r="T24" s="20">
        <v>21</v>
      </c>
      <c r="U24" s="27" t="s">
        <v>113</v>
      </c>
      <c r="V24" s="20"/>
      <c r="W24" s="20" t="s">
        <v>33</v>
      </c>
      <c r="X24" s="20">
        <f>[1]REFERENCE!$E$37</f>
        <v>0.59279999999999999</v>
      </c>
      <c r="Y24" s="21">
        <f t="shared" si="4"/>
        <v>1.2448799999999999E-2</v>
      </c>
      <c r="AA24" s="29">
        <v>21</v>
      </c>
      <c r="AB24" s="30">
        <v>44826</v>
      </c>
      <c r="AC24" s="31" t="s">
        <v>42</v>
      </c>
      <c r="AD24" s="32">
        <v>17250</v>
      </c>
      <c r="AE24" s="20" t="s">
        <v>32</v>
      </c>
      <c r="AF24" s="33" t="s">
        <v>34</v>
      </c>
      <c r="AG24" s="20">
        <v>702</v>
      </c>
      <c r="AH24" s="20"/>
      <c r="AI24" s="34">
        <f>[1]REFERENCE!$E$38</f>
        <v>9.9600000000000001E-3</v>
      </c>
      <c r="AJ24" s="21">
        <f t="shared" si="0"/>
        <v>0.12061062</v>
      </c>
      <c r="AL24" s="16">
        <v>21</v>
      </c>
      <c r="AM24" s="30">
        <v>44826</v>
      </c>
      <c r="AN24" s="31" t="s">
        <v>42</v>
      </c>
      <c r="AO24" s="32">
        <v>17250</v>
      </c>
      <c r="AP24" s="33" t="s">
        <v>34</v>
      </c>
      <c r="AQ24" s="47" t="s">
        <v>43</v>
      </c>
      <c r="AR24" s="20" t="s">
        <v>114</v>
      </c>
      <c r="AS24" s="49">
        <v>7082</v>
      </c>
      <c r="AT24" s="36">
        <f t="shared" si="5"/>
        <v>13115.864000000001</v>
      </c>
      <c r="AU24" s="35">
        <f>[1]REFERENCE!$E$39</f>
        <v>8.3999999999999995E-3</v>
      </c>
      <c r="AV24" s="37">
        <f t="shared" si="1"/>
        <v>1.9004886936000001</v>
      </c>
      <c r="AX24" s="16"/>
      <c r="AY24" s="43"/>
      <c r="AZ24" s="20"/>
      <c r="BA24" s="44"/>
      <c r="BB24" s="20"/>
      <c r="BC24" s="20"/>
      <c r="BD24" s="35"/>
      <c r="BE24" s="20"/>
      <c r="BF24" s="41"/>
    </row>
    <row r="25" spans="1:58" ht="16.5" thickBot="1" x14ac:dyDescent="0.4">
      <c r="A25" s="16">
        <v>22</v>
      </c>
      <c r="B25" s="45">
        <v>44986</v>
      </c>
      <c r="C25" s="44"/>
      <c r="D25" s="19">
        <v>5289.47</v>
      </c>
      <c r="E25" s="20" t="s">
        <v>29</v>
      </c>
      <c r="F25" s="20" t="s">
        <v>41</v>
      </c>
      <c r="G25" s="20">
        <v>40</v>
      </c>
      <c r="H25" s="20">
        <f t="shared" si="2"/>
        <v>40</v>
      </c>
      <c r="I25" s="20"/>
      <c r="J25" s="20">
        <v>1</v>
      </c>
      <c r="K25" s="20">
        <f>[1]REFERENCE!$E$37</f>
        <v>0.59279999999999999</v>
      </c>
      <c r="L25" s="21">
        <f t="shared" si="3"/>
        <v>2.3712E-2</v>
      </c>
      <c r="N25" s="16">
        <v>22</v>
      </c>
      <c r="O25" s="30">
        <v>44864</v>
      </c>
      <c r="P25" s="38" t="s">
        <v>50</v>
      </c>
      <c r="Q25" s="32">
        <v>24948</v>
      </c>
      <c r="R25" s="20" t="s">
        <v>32</v>
      </c>
      <c r="S25" s="20" t="s">
        <v>30</v>
      </c>
      <c r="T25" s="20">
        <v>21</v>
      </c>
      <c r="U25" s="27" t="s">
        <v>113</v>
      </c>
      <c r="V25" s="20"/>
      <c r="W25" s="20" t="s">
        <v>33</v>
      </c>
      <c r="X25" s="20">
        <f>[1]REFERENCE!$E$37</f>
        <v>0.59279999999999999</v>
      </c>
      <c r="Y25" s="21">
        <f t="shared" si="4"/>
        <v>1.2448799999999999E-2</v>
      </c>
      <c r="AA25" s="29">
        <v>22</v>
      </c>
      <c r="AB25" s="30">
        <v>44864</v>
      </c>
      <c r="AC25" s="31" t="s">
        <v>50</v>
      </c>
      <c r="AD25" s="32">
        <v>24948</v>
      </c>
      <c r="AE25" s="20" t="s">
        <v>32</v>
      </c>
      <c r="AF25" s="33" t="s">
        <v>34</v>
      </c>
      <c r="AG25" s="20">
        <v>702</v>
      </c>
      <c r="AH25" s="20"/>
      <c r="AI25" s="34">
        <f>[1]REFERENCE!$E$38</f>
        <v>9.9600000000000001E-3</v>
      </c>
      <c r="AJ25" s="21">
        <f t="shared" si="0"/>
        <v>0.17443442016000002</v>
      </c>
      <c r="AL25" s="16">
        <v>22</v>
      </c>
      <c r="AM25" s="30">
        <v>44864</v>
      </c>
      <c r="AN25" s="38" t="s">
        <v>50</v>
      </c>
      <c r="AO25" s="32">
        <v>24948</v>
      </c>
      <c r="AP25" s="33" t="s">
        <v>34</v>
      </c>
      <c r="AQ25" s="33" t="s">
        <v>35</v>
      </c>
      <c r="AR25" s="20" t="s">
        <v>114</v>
      </c>
      <c r="AS25" s="35">
        <v>9036</v>
      </c>
      <c r="AT25" s="36">
        <f t="shared" si="5"/>
        <v>16734.672000000002</v>
      </c>
      <c r="AU25" s="35">
        <f>[1]REFERENCE!$E$39</f>
        <v>8.3999999999999995E-3</v>
      </c>
      <c r="AV25" s="37">
        <f t="shared" si="1"/>
        <v>3.5069714152704003</v>
      </c>
      <c r="AX25" s="16"/>
      <c r="AY25" s="43"/>
      <c r="AZ25" s="20"/>
      <c r="BA25" s="44"/>
      <c r="BB25" s="20"/>
      <c r="BC25" s="20"/>
      <c r="BD25" s="35"/>
      <c r="BE25" s="20"/>
      <c r="BF25" s="41"/>
    </row>
    <row r="26" spans="1:58" ht="16.5" thickBot="1" x14ac:dyDescent="0.4">
      <c r="A26" s="16">
        <v>23</v>
      </c>
      <c r="B26" s="45">
        <v>44986</v>
      </c>
      <c r="C26" s="44"/>
      <c r="D26" s="19">
        <v>28650.98</v>
      </c>
      <c r="E26" s="20" t="s">
        <v>38</v>
      </c>
      <c r="F26" s="20" t="s">
        <v>30</v>
      </c>
      <c r="G26" s="20">
        <v>358</v>
      </c>
      <c r="H26" s="20">
        <f t="shared" si="2"/>
        <v>716</v>
      </c>
      <c r="I26" s="20"/>
      <c r="J26" s="20">
        <v>2</v>
      </c>
      <c r="K26" s="20">
        <f>[1]REFERENCE!$E$37</f>
        <v>0.59279999999999999</v>
      </c>
      <c r="L26" s="21">
        <f t="shared" si="3"/>
        <v>0.42444480000000001</v>
      </c>
      <c r="N26" s="16">
        <v>23</v>
      </c>
      <c r="O26" s="30">
        <v>44864</v>
      </c>
      <c r="P26" s="31" t="s">
        <v>46</v>
      </c>
      <c r="Q26" s="32">
        <v>24948</v>
      </c>
      <c r="R26" s="20" t="s">
        <v>32</v>
      </c>
      <c r="S26" s="20" t="s">
        <v>30</v>
      </c>
      <c r="T26" s="20">
        <v>21</v>
      </c>
      <c r="U26" s="27" t="s">
        <v>113</v>
      </c>
      <c r="V26" s="20"/>
      <c r="W26" s="20" t="s">
        <v>33</v>
      </c>
      <c r="X26" s="20">
        <f>[1]REFERENCE!$E$37</f>
        <v>0.59279999999999999</v>
      </c>
      <c r="Y26" s="21">
        <f t="shared" si="4"/>
        <v>1.2448799999999999E-2</v>
      </c>
      <c r="AA26" s="29">
        <v>23</v>
      </c>
      <c r="AB26" s="30">
        <v>44864</v>
      </c>
      <c r="AC26" s="31" t="s">
        <v>46</v>
      </c>
      <c r="AD26" s="32">
        <v>24948</v>
      </c>
      <c r="AE26" s="20" t="s">
        <v>32</v>
      </c>
      <c r="AF26" s="33" t="s">
        <v>34</v>
      </c>
      <c r="AG26" s="20">
        <v>702</v>
      </c>
      <c r="AH26" s="20"/>
      <c r="AI26" s="34">
        <f>[1]REFERENCE!$E$38</f>
        <v>9.9600000000000001E-3</v>
      </c>
      <c r="AJ26" s="21">
        <f t="shared" si="0"/>
        <v>0.17443442016000002</v>
      </c>
      <c r="AL26" s="16">
        <v>23</v>
      </c>
      <c r="AM26" s="30">
        <v>44864</v>
      </c>
      <c r="AN26" s="31" t="s">
        <v>46</v>
      </c>
      <c r="AO26" s="32">
        <v>24948</v>
      </c>
      <c r="AP26" s="33" t="s">
        <v>34</v>
      </c>
      <c r="AQ26" s="33" t="s">
        <v>35</v>
      </c>
      <c r="AR26" s="20" t="s">
        <v>114</v>
      </c>
      <c r="AS26" s="35">
        <v>9036</v>
      </c>
      <c r="AT26" s="36">
        <f t="shared" si="5"/>
        <v>16734.672000000002</v>
      </c>
      <c r="AU26" s="35">
        <f>[1]REFERENCE!$E$39</f>
        <v>8.3999999999999995E-3</v>
      </c>
      <c r="AV26" s="37">
        <f t="shared" si="1"/>
        <v>3.5069714152704003</v>
      </c>
      <c r="AX26" s="16"/>
      <c r="AY26" s="43"/>
      <c r="AZ26" s="20"/>
      <c r="BA26" s="44"/>
      <c r="BB26" s="20"/>
      <c r="BC26" s="20"/>
      <c r="BD26" s="35"/>
      <c r="BE26" s="20"/>
      <c r="BF26" s="41"/>
    </row>
    <row r="27" spans="1:58" ht="16.5" thickBot="1" x14ac:dyDescent="0.4">
      <c r="A27" s="16">
        <v>24</v>
      </c>
      <c r="B27" s="55">
        <v>45017</v>
      </c>
      <c r="C27" s="44" t="s">
        <v>28</v>
      </c>
      <c r="D27" s="19">
        <v>25270</v>
      </c>
      <c r="E27" s="20" t="s">
        <v>38</v>
      </c>
      <c r="F27" s="20" t="s">
        <v>30</v>
      </c>
      <c r="G27" s="20">
        <v>358</v>
      </c>
      <c r="H27" s="20">
        <f t="shared" si="2"/>
        <v>716</v>
      </c>
      <c r="I27" s="20"/>
      <c r="J27" s="20">
        <v>2</v>
      </c>
      <c r="K27" s="20">
        <f>[1]REFERENCE!$E$37</f>
        <v>0.59279999999999999</v>
      </c>
      <c r="L27" s="21">
        <f t="shared" si="3"/>
        <v>0.42444480000000001</v>
      </c>
      <c r="N27" s="16">
        <v>24</v>
      </c>
      <c r="O27" s="30">
        <v>44865</v>
      </c>
      <c r="P27" s="31" t="s">
        <v>47</v>
      </c>
      <c r="Q27" s="32">
        <v>24946.9</v>
      </c>
      <c r="R27" s="20" t="s">
        <v>32</v>
      </c>
      <c r="S27" s="20" t="s">
        <v>30</v>
      </c>
      <c r="T27" s="20">
        <v>21</v>
      </c>
      <c r="U27" s="27" t="s">
        <v>113</v>
      </c>
      <c r="V27" s="20"/>
      <c r="W27" s="20" t="s">
        <v>33</v>
      </c>
      <c r="X27" s="20">
        <f>[1]REFERENCE!$E$37</f>
        <v>0.59279999999999999</v>
      </c>
      <c r="Y27" s="21">
        <f t="shared" si="4"/>
        <v>1.2448799999999999E-2</v>
      </c>
      <c r="AA27" s="29">
        <v>24</v>
      </c>
      <c r="AB27" s="30">
        <v>44865</v>
      </c>
      <c r="AC27" s="31" t="s">
        <v>47</v>
      </c>
      <c r="AD27" s="32">
        <v>24946.9</v>
      </c>
      <c r="AE27" s="20" t="s">
        <v>32</v>
      </c>
      <c r="AF27" s="33" t="s">
        <v>34</v>
      </c>
      <c r="AG27" s="20">
        <v>702</v>
      </c>
      <c r="AH27" s="20"/>
      <c r="AI27" s="34">
        <f>[1]REFERENCE!$E$38</f>
        <v>9.9600000000000001E-3</v>
      </c>
      <c r="AJ27" s="21">
        <f t="shared" si="0"/>
        <v>0.174426729048</v>
      </c>
      <c r="AL27" s="16">
        <v>24</v>
      </c>
      <c r="AM27" s="30">
        <v>44865</v>
      </c>
      <c r="AN27" s="31" t="s">
        <v>47</v>
      </c>
      <c r="AO27" s="32">
        <v>24946.9</v>
      </c>
      <c r="AP27" s="33" t="s">
        <v>34</v>
      </c>
      <c r="AQ27" s="33" t="s">
        <v>35</v>
      </c>
      <c r="AR27" s="20" t="s">
        <v>114</v>
      </c>
      <c r="AS27" s="35">
        <v>9036</v>
      </c>
      <c r="AT27" s="36">
        <f t="shared" si="5"/>
        <v>16734.672000000002</v>
      </c>
      <c r="AU27" s="35">
        <f>[1]REFERENCE!$E$39</f>
        <v>8.3999999999999995E-3</v>
      </c>
      <c r="AV27" s="37">
        <f t="shared" si="1"/>
        <v>3.5068167869011204</v>
      </c>
      <c r="AX27" s="16"/>
      <c r="AY27" s="43"/>
      <c r="AZ27" s="20"/>
      <c r="BA27" s="44"/>
      <c r="BB27" s="20"/>
      <c r="BC27" s="20"/>
      <c r="BD27" s="35"/>
      <c r="BE27" s="20"/>
      <c r="BF27" s="41"/>
    </row>
    <row r="28" spans="1:58" ht="16.5" thickBot="1" x14ac:dyDescent="0.4">
      <c r="A28" s="16">
        <v>25</v>
      </c>
      <c r="B28" s="45"/>
      <c r="C28" s="52"/>
      <c r="D28" s="19"/>
      <c r="E28" s="20"/>
      <c r="F28" s="20"/>
      <c r="G28" s="20"/>
      <c r="H28" s="20"/>
      <c r="I28" s="20"/>
      <c r="J28" s="53"/>
      <c r="K28" s="20"/>
      <c r="L28" s="21"/>
      <c r="N28" s="16">
        <v>25</v>
      </c>
      <c r="O28" s="30">
        <v>44865</v>
      </c>
      <c r="P28" s="38" t="s">
        <v>53</v>
      </c>
      <c r="Q28" s="32">
        <v>24948</v>
      </c>
      <c r="R28" s="20" t="s">
        <v>32</v>
      </c>
      <c r="S28" s="20" t="s">
        <v>30</v>
      </c>
      <c r="T28" s="20">
        <v>21</v>
      </c>
      <c r="U28" s="27" t="s">
        <v>113</v>
      </c>
      <c r="V28" s="20"/>
      <c r="W28" s="20" t="s">
        <v>33</v>
      </c>
      <c r="X28" s="20">
        <f>[1]REFERENCE!$E$37</f>
        <v>0.59279999999999999</v>
      </c>
      <c r="Y28" s="21">
        <f t="shared" si="4"/>
        <v>1.2448799999999999E-2</v>
      </c>
      <c r="AA28" s="29">
        <v>25</v>
      </c>
      <c r="AB28" s="30">
        <v>44865</v>
      </c>
      <c r="AC28" s="31" t="s">
        <v>53</v>
      </c>
      <c r="AD28" s="32">
        <v>24948</v>
      </c>
      <c r="AE28" s="20" t="s">
        <v>32</v>
      </c>
      <c r="AF28" s="33" t="s">
        <v>34</v>
      </c>
      <c r="AG28" s="20">
        <v>702</v>
      </c>
      <c r="AH28" s="20"/>
      <c r="AI28" s="34">
        <f>[1]REFERENCE!$E$38</f>
        <v>9.9600000000000001E-3</v>
      </c>
      <c r="AJ28" s="21">
        <f t="shared" si="0"/>
        <v>0.17443442016000002</v>
      </c>
      <c r="AL28" s="16">
        <v>25</v>
      </c>
      <c r="AM28" s="30">
        <v>44865</v>
      </c>
      <c r="AN28" s="38" t="s">
        <v>53</v>
      </c>
      <c r="AO28" s="32">
        <v>24948</v>
      </c>
      <c r="AP28" s="33" t="s">
        <v>34</v>
      </c>
      <c r="AQ28" s="33" t="s">
        <v>35</v>
      </c>
      <c r="AR28" s="20" t="s">
        <v>114</v>
      </c>
      <c r="AS28" s="35">
        <v>9036</v>
      </c>
      <c r="AT28" s="36">
        <f t="shared" si="5"/>
        <v>16734.672000000002</v>
      </c>
      <c r="AU28" s="35">
        <f>[1]REFERENCE!$E$39</f>
        <v>8.3999999999999995E-3</v>
      </c>
      <c r="AV28" s="37">
        <f t="shared" si="1"/>
        <v>3.5069714152704003</v>
      </c>
      <c r="AX28" s="16"/>
      <c r="AY28" s="43"/>
      <c r="AZ28" s="20"/>
      <c r="BA28" s="44"/>
      <c r="BB28" s="20"/>
      <c r="BC28" s="20"/>
      <c r="BD28" s="35"/>
      <c r="BE28" s="20"/>
      <c r="BF28" s="41"/>
    </row>
    <row r="29" spans="1:58" ht="16.5" thickBot="1" x14ac:dyDescent="0.4">
      <c r="A29" s="16">
        <v>26</v>
      </c>
      <c r="B29" s="45"/>
      <c r="C29" s="44"/>
      <c r="D29" s="19"/>
      <c r="E29" s="20"/>
      <c r="F29" s="20"/>
      <c r="G29" s="20"/>
      <c r="H29" s="20"/>
      <c r="I29" s="20"/>
      <c r="J29" s="20"/>
      <c r="K29" s="20"/>
      <c r="L29" s="21"/>
      <c r="N29" s="16">
        <v>26</v>
      </c>
      <c r="O29" s="30">
        <v>44872</v>
      </c>
      <c r="P29" s="38" t="s">
        <v>49</v>
      </c>
      <c r="Q29" s="32">
        <v>25000</v>
      </c>
      <c r="R29" s="20" t="s">
        <v>32</v>
      </c>
      <c r="S29" s="20" t="s">
        <v>30</v>
      </c>
      <c r="T29" s="20">
        <v>21</v>
      </c>
      <c r="U29" s="27" t="s">
        <v>113</v>
      </c>
      <c r="V29" s="20"/>
      <c r="W29" s="20" t="s">
        <v>33</v>
      </c>
      <c r="X29" s="20">
        <f>[1]REFERENCE!$E$37</f>
        <v>0.59279999999999999</v>
      </c>
      <c r="Y29" s="21">
        <f t="shared" si="4"/>
        <v>1.2448799999999999E-2</v>
      </c>
      <c r="AA29" s="29">
        <v>26</v>
      </c>
      <c r="AB29" s="30">
        <v>44872</v>
      </c>
      <c r="AC29" s="31" t="s">
        <v>49</v>
      </c>
      <c r="AD29" s="32">
        <v>25000</v>
      </c>
      <c r="AE29" s="20" t="s">
        <v>32</v>
      </c>
      <c r="AF29" s="33" t="s">
        <v>34</v>
      </c>
      <c r="AG29" s="20">
        <v>702</v>
      </c>
      <c r="AH29" s="20"/>
      <c r="AI29" s="34">
        <f>[1]REFERENCE!$E$38</f>
        <v>9.9600000000000001E-3</v>
      </c>
      <c r="AJ29" s="21">
        <f t="shared" si="0"/>
        <v>0.17479800000000001</v>
      </c>
      <c r="AL29" s="16">
        <v>26</v>
      </c>
      <c r="AM29" s="30">
        <v>44872</v>
      </c>
      <c r="AN29" s="38" t="s">
        <v>49</v>
      </c>
      <c r="AO29" s="32">
        <v>25000</v>
      </c>
      <c r="AP29" s="33" t="s">
        <v>34</v>
      </c>
      <c r="AQ29" s="33" t="s">
        <v>40</v>
      </c>
      <c r="AR29" s="20" t="s">
        <v>114</v>
      </c>
      <c r="AS29" s="35">
        <v>3447</v>
      </c>
      <c r="AT29" s="36">
        <f t="shared" si="5"/>
        <v>6383.8440000000001</v>
      </c>
      <c r="AU29" s="35">
        <f>[1]REFERENCE!$E$39</f>
        <v>8.3999999999999995E-3</v>
      </c>
      <c r="AV29" s="37">
        <f t="shared" si="1"/>
        <v>1.34060724</v>
      </c>
      <c r="AX29" s="16"/>
      <c r="AY29" s="43"/>
      <c r="AZ29" s="20"/>
      <c r="BA29" s="44"/>
      <c r="BB29" s="20"/>
      <c r="BC29" s="20"/>
      <c r="BD29" s="35"/>
      <c r="BE29" s="20"/>
      <c r="BF29" s="41"/>
    </row>
    <row r="30" spans="1:58" ht="16.5" thickBot="1" x14ac:dyDescent="0.4">
      <c r="A30" s="16">
        <v>27</v>
      </c>
      <c r="B30" s="45"/>
      <c r="C30" s="44"/>
      <c r="D30" s="19"/>
      <c r="E30" s="20"/>
      <c r="F30" s="20"/>
      <c r="G30" s="20"/>
      <c r="H30" s="20"/>
      <c r="I30" s="20"/>
      <c r="J30" s="20"/>
      <c r="K30" s="20"/>
      <c r="L30" s="21"/>
      <c r="N30" s="16">
        <v>27</v>
      </c>
      <c r="O30" s="30">
        <v>44872</v>
      </c>
      <c r="P30" s="46" t="s">
        <v>49</v>
      </c>
      <c r="Q30" s="32">
        <v>25000</v>
      </c>
      <c r="R30" s="20" t="s">
        <v>32</v>
      </c>
      <c r="S30" s="20" t="s">
        <v>30</v>
      </c>
      <c r="T30" s="20">
        <v>21</v>
      </c>
      <c r="U30" s="27" t="s">
        <v>113</v>
      </c>
      <c r="V30" s="20"/>
      <c r="W30" s="20" t="s">
        <v>33</v>
      </c>
      <c r="X30" s="20">
        <f>[1]REFERENCE!$E$37</f>
        <v>0.59279999999999999</v>
      </c>
      <c r="Y30" s="21">
        <f t="shared" si="4"/>
        <v>1.2448799999999999E-2</v>
      </c>
      <c r="AA30" s="29">
        <v>27</v>
      </c>
      <c r="AB30" s="30">
        <v>44872</v>
      </c>
      <c r="AC30" s="31" t="s">
        <v>49</v>
      </c>
      <c r="AD30" s="32">
        <v>25000</v>
      </c>
      <c r="AE30" s="20" t="s">
        <v>32</v>
      </c>
      <c r="AF30" s="33" t="s">
        <v>34</v>
      </c>
      <c r="AG30" s="20">
        <v>702</v>
      </c>
      <c r="AH30" s="20"/>
      <c r="AI30" s="34">
        <f>[1]REFERENCE!$E$38</f>
        <v>9.9600000000000001E-3</v>
      </c>
      <c r="AJ30" s="21">
        <f t="shared" si="0"/>
        <v>0.17479800000000001</v>
      </c>
      <c r="AL30" s="16">
        <v>27</v>
      </c>
      <c r="AM30" s="30">
        <v>44872</v>
      </c>
      <c r="AN30" s="46" t="s">
        <v>49</v>
      </c>
      <c r="AO30" s="32">
        <v>25000</v>
      </c>
      <c r="AP30" s="33" t="s">
        <v>34</v>
      </c>
      <c r="AQ30" s="33" t="s">
        <v>40</v>
      </c>
      <c r="AR30" s="20" t="s">
        <v>114</v>
      </c>
      <c r="AS30" s="35">
        <v>3447</v>
      </c>
      <c r="AT30" s="36">
        <f t="shared" si="5"/>
        <v>6383.8440000000001</v>
      </c>
      <c r="AU30" s="35">
        <f>[1]REFERENCE!$E$39</f>
        <v>8.3999999999999995E-3</v>
      </c>
      <c r="AV30" s="37">
        <f t="shared" si="1"/>
        <v>1.34060724</v>
      </c>
      <c r="AX30" s="16"/>
      <c r="AY30" s="43"/>
      <c r="AZ30" s="20"/>
      <c r="BA30" s="44"/>
      <c r="BB30" s="20"/>
      <c r="BC30" s="20"/>
      <c r="BD30" s="35"/>
      <c r="BE30" s="20"/>
      <c r="BF30" s="41"/>
    </row>
    <row r="31" spans="1:58" ht="16.5" thickBot="1" x14ac:dyDescent="0.4">
      <c r="A31" s="16">
        <v>28</v>
      </c>
      <c r="B31" s="45"/>
      <c r="C31" s="44"/>
      <c r="D31" s="19"/>
      <c r="E31" s="20"/>
      <c r="F31" s="20"/>
      <c r="G31" s="20"/>
      <c r="H31" s="20"/>
      <c r="I31" s="20"/>
      <c r="J31" s="20"/>
      <c r="K31" s="20"/>
      <c r="L31" s="21"/>
      <c r="N31" s="16">
        <v>28</v>
      </c>
      <c r="O31" s="30">
        <v>44872</v>
      </c>
      <c r="P31" s="31" t="s">
        <v>54</v>
      </c>
      <c r="Q31" s="32">
        <v>400</v>
      </c>
      <c r="R31" s="20" t="s">
        <v>32</v>
      </c>
      <c r="S31" s="20" t="s">
        <v>30</v>
      </c>
      <c r="T31" s="20">
        <v>21</v>
      </c>
      <c r="U31" s="27" t="s">
        <v>113</v>
      </c>
      <c r="V31" s="20"/>
      <c r="W31" s="20" t="s">
        <v>33</v>
      </c>
      <c r="X31" s="20">
        <f>[1]REFERENCE!$E$37</f>
        <v>0.59279999999999999</v>
      </c>
      <c r="Y31" s="21">
        <f t="shared" si="4"/>
        <v>1.2448799999999999E-2</v>
      </c>
      <c r="AA31" s="29">
        <v>28</v>
      </c>
      <c r="AB31" s="30">
        <v>44872</v>
      </c>
      <c r="AC31" s="46" t="s">
        <v>54</v>
      </c>
      <c r="AD31" s="32">
        <v>400</v>
      </c>
      <c r="AE31" s="20" t="s">
        <v>32</v>
      </c>
      <c r="AF31" s="33" t="s">
        <v>34</v>
      </c>
      <c r="AG31" s="20">
        <v>702</v>
      </c>
      <c r="AH31" s="20"/>
      <c r="AI31" s="34">
        <f>[1]REFERENCE!$E$38</f>
        <v>9.9600000000000001E-3</v>
      </c>
      <c r="AJ31" s="21">
        <f t="shared" si="0"/>
        <v>2.7967679999999998E-3</v>
      </c>
      <c r="AL31" s="16">
        <v>28</v>
      </c>
      <c r="AM31" s="30">
        <v>44872</v>
      </c>
      <c r="AN31" s="31" t="s">
        <v>54</v>
      </c>
      <c r="AO31" s="32">
        <v>400</v>
      </c>
      <c r="AP31" s="33" t="s">
        <v>34</v>
      </c>
      <c r="AQ31" s="47" t="s">
        <v>40</v>
      </c>
      <c r="AR31" s="20" t="s">
        <v>114</v>
      </c>
      <c r="AS31" s="50">
        <v>3447</v>
      </c>
      <c r="AT31" s="36">
        <f t="shared" si="5"/>
        <v>6383.8440000000001</v>
      </c>
      <c r="AU31" s="35">
        <f>[1]REFERENCE!$E$39</f>
        <v>8.3999999999999995E-3</v>
      </c>
      <c r="AV31" s="37">
        <f t="shared" si="1"/>
        <v>2.1449715840000001E-2</v>
      </c>
      <c r="AX31" s="16"/>
      <c r="AY31" s="43"/>
      <c r="AZ31" s="20"/>
      <c r="BA31" s="44"/>
      <c r="BB31" s="20"/>
      <c r="BC31" s="20"/>
      <c r="BD31" s="35"/>
      <c r="BE31" s="20"/>
      <c r="BF31" s="41"/>
    </row>
    <row r="32" spans="1:58" ht="16.5" thickBot="1" x14ac:dyDescent="0.4">
      <c r="A32" s="16">
        <v>29</v>
      </c>
      <c r="B32" s="45"/>
      <c r="C32" s="44"/>
      <c r="D32" s="19"/>
      <c r="E32" s="20"/>
      <c r="F32" s="20"/>
      <c r="G32" s="20"/>
      <c r="H32" s="20"/>
      <c r="I32" s="20"/>
      <c r="J32" s="20"/>
      <c r="K32" s="20"/>
      <c r="L32" s="21"/>
      <c r="N32" s="16">
        <v>29</v>
      </c>
      <c r="O32" s="30">
        <v>44881</v>
      </c>
      <c r="P32" s="31" t="s">
        <v>48</v>
      </c>
      <c r="Q32" s="32">
        <v>24946.9</v>
      </c>
      <c r="R32" s="20" t="s">
        <v>32</v>
      </c>
      <c r="S32" s="20" t="s">
        <v>30</v>
      </c>
      <c r="T32" s="20">
        <v>21</v>
      </c>
      <c r="U32" s="27" t="s">
        <v>113</v>
      </c>
      <c r="V32" s="20"/>
      <c r="W32" s="20" t="s">
        <v>33</v>
      </c>
      <c r="X32" s="20">
        <f>[1]REFERENCE!$E$37</f>
        <v>0.59279999999999999</v>
      </c>
      <c r="Y32" s="21">
        <f t="shared" si="4"/>
        <v>1.2448799999999999E-2</v>
      </c>
      <c r="AA32" s="29">
        <v>29</v>
      </c>
      <c r="AB32" s="30">
        <v>44881</v>
      </c>
      <c r="AC32" s="31" t="s">
        <v>48</v>
      </c>
      <c r="AD32" s="32">
        <v>24946.9</v>
      </c>
      <c r="AE32" s="20" t="s">
        <v>32</v>
      </c>
      <c r="AF32" s="33" t="s">
        <v>34</v>
      </c>
      <c r="AG32" s="20">
        <v>702</v>
      </c>
      <c r="AH32" s="20"/>
      <c r="AI32" s="34">
        <f>[1]REFERENCE!$E$38</f>
        <v>9.9600000000000001E-3</v>
      </c>
      <c r="AJ32" s="21">
        <f t="shared" si="0"/>
        <v>0.174426729048</v>
      </c>
      <c r="AL32" s="16">
        <v>29</v>
      </c>
      <c r="AM32" s="30">
        <v>44881</v>
      </c>
      <c r="AN32" s="31" t="s">
        <v>48</v>
      </c>
      <c r="AO32" s="32">
        <v>24946.9</v>
      </c>
      <c r="AP32" s="33" t="s">
        <v>34</v>
      </c>
      <c r="AQ32" s="33" t="s">
        <v>35</v>
      </c>
      <c r="AR32" s="20" t="s">
        <v>114</v>
      </c>
      <c r="AS32" s="35">
        <v>9036</v>
      </c>
      <c r="AT32" s="36">
        <f t="shared" si="5"/>
        <v>16734.672000000002</v>
      </c>
      <c r="AU32" s="35">
        <f>[1]REFERENCE!$E$39</f>
        <v>8.3999999999999995E-3</v>
      </c>
      <c r="AV32" s="37">
        <f t="shared" si="1"/>
        <v>3.5068167869011204</v>
      </c>
      <c r="AX32" s="16"/>
      <c r="AY32" s="43"/>
      <c r="AZ32" s="20"/>
      <c r="BA32" s="44"/>
      <c r="BB32" s="20"/>
      <c r="BC32" s="20"/>
      <c r="BD32" s="35"/>
      <c r="BE32" s="20"/>
      <c r="BF32" s="41"/>
    </row>
    <row r="33" spans="1:58" ht="16.5" thickBot="1" x14ac:dyDescent="0.4">
      <c r="A33" s="16">
        <v>30</v>
      </c>
      <c r="B33" s="45"/>
      <c r="C33" s="44"/>
      <c r="D33" s="19"/>
      <c r="E33" s="20"/>
      <c r="F33" s="20"/>
      <c r="G33" s="20"/>
      <c r="H33" s="20"/>
      <c r="I33" s="20"/>
      <c r="J33" s="20"/>
      <c r="K33" s="20"/>
      <c r="L33" s="21"/>
      <c r="N33" s="16">
        <v>30</v>
      </c>
      <c r="O33" s="30">
        <v>44895</v>
      </c>
      <c r="P33" s="31" t="s">
        <v>55</v>
      </c>
      <c r="Q33" s="32">
        <v>25000</v>
      </c>
      <c r="R33" s="20" t="s">
        <v>32</v>
      </c>
      <c r="S33" s="20" t="s">
        <v>30</v>
      </c>
      <c r="T33" s="20">
        <v>21</v>
      </c>
      <c r="U33" s="27" t="s">
        <v>113</v>
      </c>
      <c r="V33" s="20"/>
      <c r="W33" s="20" t="s">
        <v>33</v>
      </c>
      <c r="X33" s="20">
        <f>[1]REFERENCE!$E$37</f>
        <v>0.59279999999999999</v>
      </c>
      <c r="Y33" s="21">
        <f t="shared" si="4"/>
        <v>1.2448799999999999E-2</v>
      </c>
      <c r="AA33" s="29">
        <v>30</v>
      </c>
      <c r="AB33" s="30">
        <v>44895</v>
      </c>
      <c r="AC33" s="31" t="s">
        <v>55</v>
      </c>
      <c r="AD33" s="32">
        <v>25000</v>
      </c>
      <c r="AE33" s="20" t="s">
        <v>32</v>
      </c>
      <c r="AF33" s="33" t="s">
        <v>34</v>
      </c>
      <c r="AG33" s="20">
        <v>702</v>
      </c>
      <c r="AH33" s="20"/>
      <c r="AI33" s="34">
        <f>[1]REFERENCE!$E$38</f>
        <v>9.9600000000000001E-3</v>
      </c>
      <c r="AJ33" s="21">
        <f t="shared" si="0"/>
        <v>0.17479800000000001</v>
      </c>
      <c r="AL33" s="16">
        <v>30</v>
      </c>
      <c r="AM33" s="30">
        <v>44895</v>
      </c>
      <c r="AN33" s="31" t="s">
        <v>55</v>
      </c>
      <c r="AO33" s="32">
        <v>25000</v>
      </c>
      <c r="AP33" s="33" t="s">
        <v>34</v>
      </c>
      <c r="AQ33" s="33" t="s">
        <v>40</v>
      </c>
      <c r="AR33" s="20" t="s">
        <v>114</v>
      </c>
      <c r="AS33" s="35">
        <v>3447</v>
      </c>
      <c r="AT33" s="36">
        <f t="shared" si="5"/>
        <v>6383.8440000000001</v>
      </c>
      <c r="AU33" s="35">
        <f>[1]REFERENCE!$E$39</f>
        <v>8.3999999999999995E-3</v>
      </c>
      <c r="AV33" s="37">
        <f t="shared" si="1"/>
        <v>1.34060724</v>
      </c>
      <c r="AX33" s="16"/>
      <c r="AY33" s="43"/>
      <c r="AZ33" s="20"/>
      <c r="BA33" s="44"/>
      <c r="BB33" s="20"/>
      <c r="BC33" s="20"/>
      <c r="BD33" s="35"/>
      <c r="BE33" s="20"/>
      <c r="BF33" s="41"/>
    </row>
    <row r="34" spans="1:58" ht="16.5" thickBot="1" x14ac:dyDescent="0.4">
      <c r="A34" s="16">
        <v>31</v>
      </c>
      <c r="B34" s="45"/>
      <c r="C34" s="44"/>
      <c r="D34" s="19"/>
      <c r="E34" s="20"/>
      <c r="F34" s="54"/>
      <c r="G34" s="20"/>
      <c r="H34" s="20"/>
      <c r="I34" s="20"/>
      <c r="J34" s="54"/>
      <c r="K34" s="20"/>
      <c r="L34" s="21"/>
      <c r="N34" s="16">
        <v>31</v>
      </c>
      <c r="O34" s="30">
        <v>44925</v>
      </c>
      <c r="P34" s="20"/>
      <c r="Q34" s="32">
        <v>0</v>
      </c>
      <c r="R34" s="20"/>
      <c r="S34" s="20"/>
      <c r="T34" s="20">
        <v>21</v>
      </c>
      <c r="U34" s="27" t="s">
        <v>113</v>
      </c>
      <c r="V34" s="20"/>
      <c r="W34" s="20" t="s">
        <v>33</v>
      </c>
      <c r="X34" s="20">
        <f>[1]REFERENCE!$E$37</f>
        <v>0.59279999999999999</v>
      </c>
      <c r="Y34" s="21">
        <f t="shared" si="4"/>
        <v>1.2448799999999999E-2</v>
      </c>
      <c r="AA34" s="29">
        <v>31</v>
      </c>
      <c r="AB34" s="30">
        <v>44925</v>
      </c>
      <c r="AD34" s="56">
        <v>0</v>
      </c>
      <c r="AG34" s="48">
        <v>0</v>
      </c>
      <c r="AH34" s="20"/>
      <c r="AI34" s="34">
        <f>[1]REFERENCE!$E$38</f>
        <v>9.9600000000000001E-3</v>
      </c>
      <c r="AJ34" s="21">
        <f t="shared" si="0"/>
        <v>0</v>
      </c>
      <c r="AL34" s="16">
        <v>31</v>
      </c>
      <c r="AM34" s="30">
        <v>44925</v>
      </c>
      <c r="AO34" s="56">
        <v>0</v>
      </c>
      <c r="AR34" s="20"/>
      <c r="AS34" s="51">
        <v>0</v>
      </c>
      <c r="AT34" s="36">
        <f t="shared" si="5"/>
        <v>0</v>
      </c>
      <c r="AU34" s="35">
        <f>[1]REFERENCE!$E$39</f>
        <v>8.3999999999999995E-3</v>
      </c>
      <c r="AV34" s="37">
        <f t="shared" si="1"/>
        <v>0</v>
      </c>
      <c r="AX34" s="16"/>
      <c r="AY34" s="43"/>
      <c r="AZ34" s="20"/>
      <c r="BA34" s="44"/>
      <c r="BB34" s="20"/>
      <c r="BC34" s="20"/>
      <c r="BD34" s="35"/>
      <c r="BE34" s="20"/>
      <c r="BF34" s="41"/>
    </row>
    <row r="35" spans="1:58" ht="16.5" thickBot="1" x14ac:dyDescent="0.4">
      <c r="A35" s="16">
        <v>32</v>
      </c>
      <c r="B35" s="45"/>
      <c r="C35" s="44"/>
      <c r="D35" s="19"/>
      <c r="E35" s="20"/>
      <c r="F35" s="20"/>
      <c r="G35" s="20"/>
      <c r="H35" s="20"/>
      <c r="I35" s="20"/>
      <c r="J35" s="20"/>
      <c r="K35" s="20"/>
      <c r="L35" s="21"/>
      <c r="N35" s="16">
        <v>32</v>
      </c>
      <c r="O35" s="30">
        <v>44930</v>
      </c>
      <c r="P35" s="31" t="s">
        <v>56</v>
      </c>
      <c r="Q35" s="32">
        <v>25000</v>
      </c>
      <c r="R35" s="20" t="s">
        <v>32</v>
      </c>
      <c r="S35" s="20" t="s">
        <v>30</v>
      </c>
      <c r="T35" s="20">
        <v>21</v>
      </c>
      <c r="U35" s="27" t="s">
        <v>113</v>
      </c>
      <c r="V35" s="20"/>
      <c r="W35" s="20" t="s">
        <v>33</v>
      </c>
      <c r="X35" s="20">
        <f>[1]REFERENCE!$E$37</f>
        <v>0.59279999999999999</v>
      </c>
      <c r="Y35" s="21">
        <f t="shared" si="4"/>
        <v>1.2448799999999999E-2</v>
      </c>
      <c r="AA35" s="29">
        <v>32</v>
      </c>
      <c r="AB35" s="30">
        <v>44930</v>
      </c>
      <c r="AC35" s="31" t="s">
        <v>56</v>
      </c>
      <c r="AD35" s="32">
        <v>25000</v>
      </c>
      <c r="AE35" s="20" t="s">
        <v>32</v>
      </c>
      <c r="AF35" s="33" t="s">
        <v>34</v>
      </c>
      <c r="AG35" s="20">
        <v>702</v>
      </c>
      <c r="AH35" s="20"/>
      <c r="AI35" s="34">
        <f>[1]REFERENCE!$E$38</f>
        <v>9.9600000000000001E-3</v>
      </c>
      <c r="AJ35" s="21">
        <f t="shared" si="0"/>
        <v>0.17479800000000001</v>
      </c>
      <c r="AL35" s="16">
        <v>32</v>
      </c>
      <c r="AM35" s="30">
        <v>44930</v>
      </c>
      <c r="AN35" s="31" t="s">
        <v>56</v>
      </c>
      <c r="AO35" s="32">
        <v>25000</v>
      </c>
      <c r="AP35" s="33" t="s">
        <v>34</v>
      </c>
      <c r="AQ35" s="33" t="s">
        <v>40</v>
      </c>
      <c r="AR35" s="20" t="s">
        <v>114</v>
      </c>
      <c r="AS35" s="35">
        <v>3447</v>
      </c>
      <c r="AT35" s="36">
        <f t="shared" si="5"/>
        <v>6383.8440000000001</v>
      </c>
      <c r="AU35" s="35">
        <f>[1]REFERENCE!$E$39</f>
        <v>8.3999999999999995E-3</v>
      </c>
      <c r="AV35" s="37">
        <f t="shared" si="1"/>
        <v>1.34060724</v>
      </c>
      <c r="AX35" s="16"/>
      <c r="AY35" s="43"/>
      <c r="AZ35" s="20"/>
      <c r="BA35" s="44"/>
      <c r="BB35" s="20"/>
      <c r="BC35" s="20"/>
      <c r="BD35" s="35"/>
      <c r="BE35" s="20"/>
      <c r="BF35" s="41"/>
    </row>
    <row r="36" spans="1:58" ht="16.5" thickBot="1" x14ac:dyDescent="0.4">
      <c r="A36" s="16">
        <v>33</v>
      </c>
      <c r="B36" s="45"/>
      <c r="C36" s="44"/>
      <c r="D36" s="19"/>
      <c r="E36" s="20"/>
      <c r="F36" s="20"/>
      <c r="G36" s="20"/>
      <c r="H36" s="20"/>
      <c r="I36" s="20"/>
      <c r="J36" s="20"/>
      <c r="K36" s="20"/>
      <c r="L36" s="21"/>
      <c r="N36" s="16">
        <v>33</v>
      </c>
      <c r="O36" s="30">
        <v>44930</v>
      </c>
      <c r="P36" s="31" t="s">
        <v>56</v>
      </c>
      <c r="Q36" s="32">
        <v>25000</v>
      </c>
      <c r="R36" s="20" t="s">
        <v>32</v>
      </c>
      <c r="S36" s="20" t="s">
        <v>30</v>
      </c>
      <c r="T36" s="20">
        <v>21</v>
      </c>
      <c r="U36" s="27" t="s">
        <v>113</v>
      </c>
      <c r="V36" s="20"/>
      <c r="W36" s="20" t="s">
        <v>33</v>
      </c>
      <c r="X36" s="20">
        <f>[1]REFERENCE!$E$37</f>
        <v>0.59279999999999999</v>
      </c>
      <c r="Y36" s="21">
        <f t="shared" si="4"/>
        <v>1.2448799999999999E-2</v>
      </c>
      <c r="AA36" s="29">
        <v>33</v>
      </c>
      <c r="AB36" s="30">
        <v>44930</v>
      </c>
      <c r="AC36" s="46" t="s">
        <v>56</v>
      </c>
      <c r="AD36" s="57">
        <v>25000</v>
      </c>
      <c r="AE36" s="20" t="s">
        <v>32</v>
      </c>
      <c r="AF36" s="33" t="s">
        <v>34</v>
      </c>
      <c r="AG36" s="20">
        <v>702</v>
      </c>
      <c r="AH36" s="20"/>
      <c r="AI36" s="34">
        <f>[1]REFERENCE!$E$38</f>
        <v>9.9600000000000001E-3</v>
      </c>
      <c r="AJ36" s="21">
        <f t="shared" si="0"/>
        <v>0.17479800000000001</v>
      </c>
      <c r="AL36" s="16">
        <v>33</v>
      </c>
      <c r="AM36" s="30">
        <v>44930</v>
      </c>
      <c r="AN36" s="31" t="s">
        <v>56</v>
      </c>
      <c r="AO36" s="32">
        <v>25000</v>
      </c>
      <c r="AP36" s="33" t="s">
        <v>34</v>
      </c>
      <c r="AQ36" s="33" t="s">
        <v>40</v>
      </c>
      <c r="AR36" s="20" t="s">
        <v>114</v>
      </c>
      <c r="AS36" s="35">
        <v>3447</v>
      </c>
      <c r="AT36" s="36">
        <f t="shared" si="5"/>
        <v>6383.8440000000001</v>
      </c>
      <c r="AU36" s="35">
        <f>[1]REFERENCE!$E$39</f>
        <v>8.3999999999999995E-3</v>
      </c>
      <c r="AV36" s="37">
        <f t="shared" si="1"/>
        <v>1.34060724</v>
      </c>
      <c r="AX36" s="16"/>
      <c r="AY36" s="43"/>
      <c r="AZ36" s="20"/>
      <c r="BA36" s="44"/>
      <c r="BB36" s="20"/>
      <c r="BC36" s="20"/>
      <c r="BD36" s="35"/>
      <c r="BE36" s="20"/>
      <c r="BF36" s="41"/>
    </row>
    <row r="37" spans="1:58" ht="16.5" thickBot="1" x14ac:dyDescent="0.4">
      <c r="A37" s="16">
        <v>34</v>
      </c>
      <c r="B37" s="45"/>
      <c r="C37" s="44"/>
      <c r="D37" s="19"/>
      <c r="E37" s="20"/>
      <c r="F37" s="20"/>
      <c r="G37" s="20"/>
      <c r="H37" s="20"/>
      <c r="I37" s="20"/>
      <c r="J37" s="20"/>
      <c r="K37" s="20"/>
      <c r="L37" s="21"/>
      <c r="N37" s="16">
        <v>34</v>
      </c>
      <c r="O37" s="30">
        <v>44931</v>
      </c>
      <c r="P37" s="38" t="s">
        <v>57</v>
      </c>
      <c r="Q37" s="32">
        <v>24948</v>
      </c>
      <c r="R37" s="20" t="s">
        <v>32</v>
      </c>
      <c r="S37" s="20" t="s">
        <v>30</v>
      </c>
      <c r="T37" s="20">
        <v>21</v>
      </c>
      <c r="U37" s="27" t="s">
        <v>113</v>
      </c>
      <c r="V37" s="20"/>
      <c r="W37" s="20" t="s">
        <v>33</v>
      </c>
      <c r="X37" s="20">
        <f>[1]REFERENCE!$E$37</f>
        <v>0.59279999999999999</v>
      </c>
      <c r="Y37" s="21">
        <f t="shared" si="4"/>
        <v>1.2448799999999999E-2</v>
      </c>
      <c r="AA37" s="29">
        <v>34</v>
      </c>
      <c r="AB37" s="30">
        <v>44931</v>
      </c>
      <c r="AC37" s="31" t="s">
        <v>57</v>
      </c>
      <c r="AD37" s="32">
        <v>24948</v>
      </c>
      <c r="AE37" s="20" t="s">
        <v>32</v>
      </c>
      <c r="AF37" s="33" t="s">
        <v>34</v>
      </c>
      <c r="AG37" s="20">
        <v>702</v>
      </c>
      <c r="AH37" s="20"/>
      <c r="AI37" s="34">
        <f>[1]REFERENCE!$E$38</f>
        <v>9.9600000000000001E-3</v>
      </c>
      <c r="AJ37" s="21">
        <f t="shared" si="0"/>
        <v>0.17443442016000002</v>
      </c>
      <c r="AL37" s="16">
        <v>34</v>
      </c>
      <c r="AM37" s="30">
        <v>44931</v>
      </c>
      <c r="AN37" s="38" t="s">
        <v>57</v>
      </c>
      <c r="AO37" s="32">
        <v>24948</v>
      </c>
      <c r="AP37" s="33" t="s">
        <v>34</v>
      </c>
      <c r="AQ37" s="33" t="s">
        <v>35</v>
      </c>
      <c r="AR37" s="20" t="s">
        <v>114</v>
      </c>
      <c r="AS37" s="35">
        <v>9036</v>
      </c>
      <c r="AT37" s="36">
        <f t="shared" si="5"/>
        <v>16734.672000000002</v>
      </c>
      <c r="AU37" s="35">
        <f>[1]REFERENCE!$E$39</f>
        <v>8.3999999999999995E-3</v>
      </c>
      <c r="AV37" s="37">
        <f t="shared" si="1"/>
        <v>3.5069714152704003</v>
      </c>
      <c r="AX37" s="16"/>
      <c r="AY37" s="43"/>
      <c r="AZ37" s="20"/>
      <c r="BA37" s="44"/>
      <c r="BB37" s="20"/>
      <c r="BC37" s="20"/>
      <c r="BD37" s="35"/>
      <c r="BE37" s="20"/>
      <c r="BF37" s="41"/>
    </row>
    <row r="38" spans="1:58" ht="16.5" thickBot="1" x14ac:dyDescent="0.4">
      <c r="A38" s="16">
        <v>35</v>
      </c>
      <c r="B38" s="55"/>
      <c r="C38" s="44"/>
      <c r="D38" s="19"/>
      <c r="E38" s="20"/>
      <c r="F38" s="20"/>
      <c r="G38" s="20"/>
      <c r="H38" s="20"/>
      <c r="I38" s="20"/>
      <c r="J38" s="20"/>
      <c r="K38" s="20"/>
      <c r="L38" s="21"/>
      <c r="N38" s="16">
        <v>35</v>
      </c>
      <c r="O38" s="30">
        <v>44942</v>
      </c>
      <c r="P38" s="31" t="s">
        <v>47</v>
      </c>
      <c r="Q38" s="32">
        <v>24946.9</v>
      </c>
      <c r="R38" s="20" t="s">
        <v>32</v>
      </c>
      <c r="S38" s="20" t="s">
        <v>30</v>
      </c>
      <c r="T38" s="20">
        <v>21</v>
      </c>
      <c r="U38" s="27" t="s">
        <v>113</v>
      </c>
      <c r="V38" s="20"/>
      <c r="W38" s="20" t="s">
        <v>33</v>
      </c>
      <c r="X38" s="20">
        <f>[1]REFERENCE!$E$37</f>
        <v>0.59279999999999999</v>
      </c>
      <c r="Y38" s="21">
        <f t="shared" si="4"/>
        <v>1.2448799999999999E-2</v>
      </c>
      <c r="AA38" s="29">
        <v>35</v>
      </c>
      <c r="AB38" s="30">
        <v>44942</v>
      </c>
      <c r="AC38" s="31" t="s">
        <v>47</v>
      </c>
      <c r="AD38" s="32">
        <v>24946.9</v>
      </c>
      <c r="AE38" s="20" t="s">
        <v>32</v>
      </c>
      <c r="AF38" s="33" t="s">
        <v>34</v>
      </c>
      <c r="AG38" s="20">
        <v>702</v>
      </c>
      <c r="AH38" s="20"/>
      <c r="AI38" s="34">
        <f>[1]REFERENCE!$E$38</f>
        <v>9.9600000000000001E-3</v>
      </c>
      <c r="AJ38" s="21">
        <f t="shared" si="0"/>
        <v>0.174426729048</v>
      </c>
      <c r="AL38" s="16">
        <v>35</v>
      </c>
      <c r="AM38" s="30">
        <v>44942</v>
      </c>
      <c r="AN38" s="31" t="s">
        <v>47</v>
      </c>
      <c r="AO38" s="32">
        <v>24946.9</v>
      </c>
      <c r="AP38" s="33" t="s">
        <v>34</v>
      </c>
      <c r="AQ38" s="47" t="s">
        <v>35</v>
      </c>
      <c r="AR38" s="20" t="s">
        <v>114</v>
      </c>
      <c r="AS38" s="49">
        <v>9036</v>
      </c>
      <c r="AT38" s="36">
        <f t="shared" si="5"/>
        <v>16734.672000000002</v>
      </c>
      <c r="AU38" s="35">
        <f>[1]REFERENCE!$E$39</f>
        <v>8.3999999999999995E-3</v>
      </c>
      <c r="AV38" s="37">
        <f t="shared" si="1"/>
        <v>3.5068167869011204</v>
      </c>
      <c r="AX38" s="16"/>
      <c r="AY38" s="43"/>
      <c r="AZ38" s="20"/>
      <c r="BA38" s="44"/>
      <c r="BB38" s="20"/>
      <c r="BC38" s="20"/>
      <c r="BD38" s="35"/>
      <c r="BE38" s="20"/>
      <c r="BF38" s="41"/>
    </row>
    <row r="39" spans="1:58" ht="16.5" thickBot="1" x14ac:dyDescent="0.4">
      <c r="A39" s="16"/>
      <c r="B39" s="45" t="s">
        <v>33</v>
      </c>
      <c r="C39" s="44"/>
      <c r="D39" s="58"/>
      <c r="E39" s="20"/>
      <c r="F39" s="20"/>
      <c r="G39" s="20"/>
      <c r="H39" s="20"/>
      <c r="I39" s="20"/>
      <c r="J39" s="20"/>
      <c r="K39" s="20">
        <f>[1]REFERENCE!$E$37</f>
        <v>0.59279999999999999</v>
      </c>
      <c r="L39" s="21">
        <f t="shared" ref="L39:L48" si="7">H39*K39/1000</f>
        <v>0</v>
      </c>
      <c r="N39" s="16">
        <v>36</v>
      </c>
      <c r="O39" s="30">
        <v>44951</v>
      </c>
      <c r="P39" s="31" t="s">
        <v>56</v>
      </c>
      <c r="Q39" s="32">
        <v>25000</v>
      </c>
      <c r="R39" s="20" t="s">
        <v>32</v>
      </c>
      <c r="S39" s="20" t="s">
        <v>30</v>
      </c>
      <c r="T39" s="20">
        <v>21</v>
      </c>
      <c r="U39" s="27" t="s">
        <v>113</v>
      </c>
      <c r="V39" s="20"/>
      <c r="W39" s="20" t="s">
        <v>33</v>
      </c>
      <c r="X39" s="20">
        <f>[1]REFERENCE!$E$37</f>
        <v>0.59279999999999999</v>
      </c>
      <c r="Y39" s="21">
        <f t="shared" si="4"/>
        <v>1.2448799999999999E-2</v>
      </c>
      <c r="AA39" s="29">
        <v>36</v>
      </c>
      <c r="AB39" s="30">
        <v>44951</v>
      </c>
      <c r="AC39" s="31" t="s">
        <v>56</v>
      </c>
      <c r="AD39" s="32">
        <v>25000</v>
      </c>
      <c r="AE39" s="20" t="s">
        <v>32</v>
      </c>
      <c r="AF39" s="33" t="s">
        <v>34</v>
      </c>
      <c r="AG39" s="20">
        <v>702</v>
      </c>
      <c r="AH39" s="20"/>
      <c r="AI39" s="34">
        <f>[1]REFERENCE!$E$38</f>
        <v>9.9600000000000001E-3</v>
      </c>
      <c r="AJ39" s="21">
        <f t="shared" si="0"/>
        <v>0.17479800000000001</v>
      </c>
      <c r="AL39" s="16">
        <v>36</v>
      </c>
      <c r="AM39" s="30">
        <v>44951</v>
      </c>
      <c r="AN39" s="31" t="s">
        <v>56</v>
      </c>
      <c r="AO39" s="32">
        <v>25000</v>
      </c>
      <c r="AP39" s="33" t="s">
        <v>34</v>
      </c>
      <c r="AQ39" s="33" t="s">
        <v>40</v>
      </c>
      <c r="AR39" s="20" t="s">
        <v>114</v>
      </c>
      <c r="AS39" s="35">
        <v>3447</v>
      </c>
      <c r="AT39" s="36">
        <f t="shared" si="5"/>
        <v>6383.8440000000001</v>
      </c>
      <c r="AU39" s="35">
        <f>[1]REFERENCE!$E$39</f>
        <v>8.3999999999999995E-3</v>
      </c>
      <c r="AV39" s="37">
        <f t="shared" si="1"/>
        <v>1.34060724</v>
      </c>
      <c r="AX39" s="16"/>
      <c r="AY39" s="43"/>
      <c r="AZ39" s="20"/>
      <c r="BA39" s="44"/>
      <c r="BB39" s="20"/>
      <c r="BC39" s="20"/>
      <c r="BD39" s="35"/>
      <c r="BE39" s="20"/>
      <c r="BF39" s="41"/>
    </row>
    <row r="40" spans="1:58" ht="16.5" thickBot="1" x14ac:dyDescent="0.4">
      <c r="A40" s="20">
        <v>1</v>
      </c>
      <c r="B40" s="30"/>
      <c r="C40" s="33"/>
      <c r="D40" s="32"/>
      <c r="E40" s="33"/>
      <c r="F40" s="33"/>
      <c r="G40" s="20"/>
      <c r="H40" s="35"/>
      <c r="I40" s="20"/>
      <c r="J40" s="20"/>
      <c r="K40" s="20">
        <f>[1]REFERENCE!$E$37</f>
        <v>0.59279999999999999</v>
      </c>
      <c r="L40" s="21">
        <f t="shared" si="7"/>
        <v>0</v>
      </c>
      <c r="N40" s="16">
        <v>37</v>
      </c>
      <c r="O40" s="30">
        <v>44953</v>
      </c>
      <c r="P40" s="38" t="s">
        <v>56</v>
      </c>
      <c r="Q40" s="32">
        <v>25000</v>
      </c>
      <c r="R40" s="20" t="s">
        <v>32</v>
      </c>
      <c r="S40" s="20" t="s">
        <v>30</v>
      </c>
      <c r="T40" s="20">
        <v>21</v>
      </c>
      <c r="U40" s="27" t="s">
        <v>113</v>
      </c>
      <c r="V40" s="20"/>
      <c r="W40" s="20" t="s">
        <v>33</v>
      </c>
      <c r="X40" s="20">
        <f>[1]REFERENCE!$E$37</f>
        <v>0.59279999999999999</v>
      </c>
      <c r="Y40" s="21">
        <f t="shared" si="4"/>
        <v>1.2448799999999999E-2</v>
      </c>
      <c r="AA40" s="29">
        <v>37</v>
      </c>
      <c r="AB40" s="30">
        <v>44953</v>
      </c>
      <c r="AC40" s="46" t="s">
        <v>56</v>
      </c>
      <c r="AD40" s="32">
        <v>25000</v>
      </c>
      <c r="AE40" s="20" t="s">
        <v>32</v>
      </c>
      <c r="AF40" s="33" t="s">
        <v>34</v>
      </c>
      <c r="AG40" s="20">
        <v>702</v>
      </c>
      <c r="AH40" s="20"/>
      <c r="AI40" s="34">
        <f>[1]REFERENCE!$E$38</f>
        <v>9.9600000000000001E-3</v>
      </c>
      <c r="AJ40" s="21">
        <f t="shared" si="0"/>
        <v>0.17479800000000001</v>
      </c>
      <c r="AL40" s="16">
        <v>37</v>
      </c>
      <c r="AM40" s="30">
        <v>44953</v>
      </c>
      <c r="AN40" s="38" t="s">
        <v>56</v>
      </c>
      <c r="AO40" s="32">
        <v>25000</v>
      </c>
      <c r="AP40" s="33" t="s">
        <v>34</v>
      </c>
      <c r="AQ40" s="33" t="s">
        <v>40</v>
      </c>
      <c r="AR40" s="20" t="s">
        <v>114</v>
      </c>
      <c r="AS40" s="35">
        <v>3447</v>
      </c>
      <c r="AT40" s="36">
        <f t="shared" si="5"/>
        <v>6383.8440000000001</v>
      </c>
      <c r="AU40" s="35">
        <f>[1]REFERENCE!$E$39</f>
        <v>8.3999999999999995E-3</v>
      </c>
      <c r="AV40" s="37">
        <f t="shared" si="1"/>
        <v>1.34060724</v>
      </c>
      <c r="AX40" s="16"/>
      <c r="AY40" s="43"/>
      <c r="AZ40" s="20"/>
      <c r="BA40" s="44"/>
      <c r="BB40" s="20"/>
      <c r="BC40" s="20"/>
      <c r="BD40" s="35"/>
      <c r="BE40" s="20"/>
      <c r="BF40" s="41"/>
    </row>
    <row r="41" spans="1:58" ht="16.5" thickBot="1" x14ac:dyDescent="0.4">
      <c r="A41" s="20">
        <v>2</v>
      </c>
      <c r="B41" s="30"/>
      <c r="C41" s="38"/>
      <c r="D41" s="32"/>
      <c r="E41" s="33"/>
      <c r="F41" s="33"/>
      <c r="G41" s="20"/>
      <c r="H41" s="35"/>
      <c r="I41" s="20"/>
      <c r="J41" s="20"/>
      <c r="K41" s="20">
        <f>[1]REFERENCE!$E$37</f>
        <v>0.59279999999999999</v>
      </c>
      <c r="L41" s="21">
        <f t="shared" si="7"/>
        <v>0</v>
      </c>
      <c r="N41" s="16">
        <v>38</v>
      </c>
      <c r="O41" s="30">
        <v>44957</v>
      </c>
      <c r="P41" s="38" t="s">
        <v>57</v>
      </c>
      <c r="Q41" s="32">
        <v>24948</v>
      </c>
      <c r="R41" s="20" t="s">
        <v>32</v>
      </c>
      <c r="S41" s="20" t="s">
        <v>30</v>
      </c>
      <c r="T41" s="20">
        <v>21</v>
      </c>
      <c r="U41" s="27" t="s">
        <v>113</v>
      </c>
      <c r="V41" s="20"/>
      <c r="W41" s="20" t="s">
        <v>33</v>
      </c>
      <c r="X41" s="20">
        <f>[1]REFERENCE!$E$37</f>
        <v>0.59279999999999999</v>
      </c>
      <c r="Y41" s="21">
        <f t="shared" si="4"/>
        <v>1.2448799999999999E-2</v>
      </c>
      <c r="AA41" s="29">
        <v>38</v>
      </c>
      <c r="AB41" s="30">
        <v>44957</v>
      </c>
      <c r="AC41" s="31" t="s">
        <v>57</v>
      </c>
      <c r="AD41" s="32">
        <v>24948</v>
      </c>
      <c r="AE41" s="20" t="s">
        <v>32</v>
      </c>
      <c r="AF41" s="33" t="s">
        <v>34</v>
      </c>
      <c r="AG41" s="20">
        <v>702</v>
      </c>
      <c r="AH41" s="20"/>
      <c r="AI41" s="34">
        <f>[1]REFERENCE!$E$38</f>
        <v>9.9600000000000001E-3</v>
      </c>
      <c r="AJ41" s="21">
        <f t="shared" si="0"/>
        <v>0.17443442016000002</v>
      </c>
      <c r="AL41" s="16">
        <v>38</v>
      </c>
      <c r="AM41" s="30">
        <v>44957</v>
      </c>
      <c r="AN41" s="38" t="s">
        <v>57</v>
      </c>
      <c r="AO41" s="32">
        <v>24948</v>
      </c>
      <c r="AP41" s="33" t="s">
        <v>34</v>
      </c>
      <c r="AQ41" s="33" t="s">
        <v>35</v>
      </c>
      <c r="AR41" s="20" t="s">
        <v>114</v>
      </c>
      <c r="AS41" s="35">
        <v>9036</v>
      </c>
      <c r="AT41" s="36">
        <f t="shared" si="5"/>
        <v>16734.672000000002</v>
      </c>
      <c r="AU41" s="35">
        <f>[1]REFERENCE!$E$39</f>
        <v>8.3999999999999995E-3</v>
      </c>
      <c r="AV41" s="37">
        <f t="shared" si="1"/>
        <v>3.5069714152704003</v>
      </c>
      <c r="AX41" s="16"/>
      <c r="AY41" s="43"/>
      <c r="AZ41" s="20"/>
      <c r="BA41" s="44"/>
      <c r="BB41" s="20"/>
      <c r="BC41" s="20"/>
      <c r="BD41" s="35"/>
      <c r="BE41" s="20"/>
      <c r="BF41" s="41"/>
    </row>
    <row r="42" spans="1:58" ht="16.5" thickBot="1" x14ac:dyDescent="0.4">
      <c r="A42" s="20">
        <v>3</v>
      </c>
      <c r="B42" s="30"/>
      <c r="C42" s="31"/>
      <c r="D42" s="32"/>
      <c r="E42" s="33"/>
      <c r="F42" s="33"/>
      <c r="G42" s="20"/>
      <c r="H42" s="35"/>
      <c r="I42" s="20"/>
      <c r="J42" s="20"/>
      <c r="K42" s="20">
        <f>[1]REFERENCE!$E$37</f>
        <v>0.59279999999999999</v>
      </c>
      <c r="L42" s="21">
        <f t="shared" si="7"/>
        <v>0</v>
      </c>
      <c r="N42" s="16">
        <v>39</v>
      </c>
      <c r="O42" s="30">
        <v>44957</v>
      </c>
      <c r="P42" s="31" t="s">
        <v>58</v>
      </c>
      <c r="Q42" s="32">
        <v>24948</v>
      </c>
      <c r="R42" s="20" t="s">
        <v>32</v>
      </c>
      <c r="S42" s="20" t="s">
        <v>30</v>
      </c>
      <c r="T42" s="20">
        <v>21</v>
      </c>
      <c r="U42" s="27" t="s">
        <v>113</v>
      </c>
      <c r="V42" s="20"/>
      <c r="W42" s="20" t="s">
        <v>33</v>
      </c>
      <c r="X42" s="20">
        <f>[1]REFERENCE!$E$37</f>
        <v>0.59279999999999999</v>
      </c>
      <c r="Y42" s="21">
        <f t="shared" si="4"/>
        <v>1.2448799999999999E-2</v>
      </c>
      <c r="AA42" s="29">
        <v>39</v>
      </c>
      <c r="AB42" s="30">
        <v>44957</v>
      </c>
      <c r="AC42" s="31" t="s">
        <v>58</v>
      </c>
      <c r="AD42" s="32">
        <v>24948</v>
      </c>
      <c r="AE42" s="20" t="s">
        <v>32</v>
      </c>
      <c r="AF42" s="33" t="s">
        <v>34</v>
      </c>
      <c r="AG42" s="20">
        <v>702</v>
      </c>
      <c r="AH42" s="20"/>
      <c r="AI42" s="34">
        <f>[1]REFERENCE!$E$38</f>
        <v>9.9600000000000001E-3</v>
      </c>
      <c r="AJ42" s="21">
        <f t="shared" si="0"/>
        <v>0.17443442016000002</v>
      </c>
      <c r="AL42" s="16">
        <v>39</v>
      </c>
      <c r="AM42" s="30">
        <v>44957</v>
      </c>
      <c r="AN42" s="31" t="s">
        <v>58</v>
      </c>
      <c r="AO42" s="32">
        <v>24948</v>
      </c>
      <c r="AP42" s="33" t="s">
        <v>34</v>
      </c>
      <c r="AQ42" s="33" t="s">
        <v>35</v>
      </c>
      <c r="AR42" s="20" t="s">
        <v>114</v>
      </c>
      <c r="AS42" s="35">
        <v>9036</v>
      </c>
      <c r="AT42" s="36">
        <f t="shared" si="5"/>
        <v>16734.672000000002</v>
      </c>
      <c r="AU42" s="35">
        <f>[1]REFERENCE!$E$39</f>
        <v>8.3999999999999995E-3</v>
      </c>
      <c r="AV42" s="37">
        <f t="shared" si="1"/>
        <v>3.5069714152704003</v>
      </c>
      <c r="AX42" s="16"/>
      <c r="AY42" s="43"/>
      <c r="AZ42" s="20"/>
      <c r="BA42" s="44"/>
      <c r="BB42" s="20"/>
      <c r="BC42" s="20"/>
      <c r="BD42" s="35"/>
      <c r="BE42" s="20"/>
      <c r="BF42" s="41"/>
    </row>
    <row r="43" spans="1:58" ht="16.5" thickBot="1" x14ac:dyDescent="0.4">
      <c r="A43" s="20">
        <v>4</v>
      </c>
      <c r="B43" s="30"/>
      <c r="C43" s="31"/>
      <c r="D43" s="32"/>
      <c r="E43" s="33"/>
      <c r="F43" s="33"/>
      <c r="G43" s="20"/>
      <c r="H43" s="35"/>
      <c r="I43" s="20"/>
      <c r="J43" s="20"/>
      <c r="K43" s="20">
        <f>[1]REFERENCE!$E$37</f>
        <v>0.59279999999999999</v>
      </c>
      <c r="L43" s="21">
        <f t="shared" si="7"/>
        <v>0</v>
      </c>
      <c r="N43" s="16">
        <v>40</v>
      </c>
      <c r="O43" s="30">
        <v>44927</v>
      </c>
      <c r="P43" s="38" t="s">
        <v>36</v>
      </c>
      <c r="Q43" s="59">
        <v>625</v>
      </c>
      <c r="R43" s="20" t="s">
        <v>32</v>
      </c>
      <c r="S43" s="20" t="s">
        <v>30</v>
      </c>
      <c r="T43" s="20">
        <v>21</v>
      </c>
      <c r="U43" s="27" t="s">
        <v>113</v>
      </c>
      <c r="V43" s="20"/>
      <c r="W43" s="20" t="s">
        <v>33</v>
      </c>
      <c r="X43" s="20">
        <f>[1]REFERENCE!$E$37</f>
        <v>0.59279999999999999</v>
      </c>
      <c r="Y43" s="21">
        <f t="shared" si="4"/>
        <v>1.2448799999999999E-2</v>
      </c>
      <c r="AA43" s="29">
        <v>40</v>
      </c>
      <c r="AB43" s="30">
        <v>44971</v>
      </c>
      <c r="AC43" s="31" t="s">
        <v>56</v>
      </c>
      <c r="AD43" s="32">
        <v>25000</v>
      </c>
      <c r="AE43" s="20" t="s">
        <v>32</v>
      </c>
      <c r="AF43" s="33" t="s">
        <v>34</v>
      </c>
      <c r="AG43" s="20">
        <v>702</v>
      </c>
      <c r="AH43" s="20"/>
      <c r="AI43" s="34">
        <f>[1]REFERENCE!$E$38</f>
        <v>9.9600000000000001E-3</v>
      </c>
      <c r="AJ43" s="21">
        <f t="shared" si="0"/>
        <v>0.17479800000000001</v>
      </c>
      <c r="AL43" s="16">
        <v>40</v>
      </c>
      <c r="AM43" s="30">
        <v>44971</v>
      </c>
      <c r="AN43" s="31" t="s">
        <v>56</v>
      </c>
      <c r="AO43" s="32">
        <v>25000</v>
      </c>
      <c r="AP43" s="33" t="s">
        <v>34</v>
      </c>
      <c r="AQ43" s="47" t="s">
        <v>40</v>
      </c>
      <c r="AR43" s="20" t="s">
        <v>114</v>
      </c>
      <c r="AS43" s="49">
        <v>3447</v>
      </c>
      <c r="AT43" s="36">
        <f t="shared" si="5"/>
        <v>6383.8440000000001</v>
      </c>
      <c r="AU43" s="35">
        <f>[1]REFERENCE!$E$39</f>
        <v>8.3999999999999995E-3</v>
      </c>
      <c r="AV43" s="37">
        <f t="shared" si="1"/>
        <v>1.34060724</v>
      </c>
      <c r="AX43" s="16"/>
      <c r="AY43" s="43"/>
      <c r="AZ43" s="20"/>
      <c r="BA43" s="44"/>
      <c r="BB43" s="20"/>
      <c r="BC43" s="20"/>
      <c r="BD43" s="35"/>
      <c r="BE43" s="20"/>
      <c r="BF43" s="41"/>
    </row>
    <row r="44" spans="1:58" ht="16.5" thickBot="1" x14ac:dyDescent="0.4">
      <c r="A44" s="20">
        <v>5</v>
      </c>
      <c r="B44" s="30"/>
      <c r="C44" s="38"/>
      <c r="D44" s="32"/>
      <c r="E44" s="33"/>
      <c r="F44" s="33"/>
      <c r="G44" s="20"/>
      <c r="H44" s="35"/>
      <c r="I44" s="20"/>
      <c r="J44" s="20"/>
      <c r="K44" s="20">
        <f>[1]REFERENCE!$E$37</f>
        <v>0.59279999999999999</v>
      </c>
      <c r="L44" s="21">
        <f t="shared" si="7"/>
        <v>0</v>
      </c>
      <c r="N44" s="16">
        <v>41</v>
      </c>
      <c r="O44" s="30">
        <v>44971</v>
      </c>
      <c r="P44" s="31" t="s">
        <v>56</v>
      </c>
      <c r="Q44" s="32">
        <v>25000</v>
      </c>
      <c r="R44" s="20" t="s">
        <v>32</v>
      </c>
      <c r="S44" s="20" t="s">
        <v>30</v>
      </c>
      <c r="T44" s="20">
        <v>21</v>
      </c>
      <c r="U44" s="27" t="s">
        <v>113</v>
      </c>
      <c r="V44" s="20"/>
      <c r="W44" s="20" t="s">
        <v>33</v>
      </c>
      <c r="X44" s="20">
        <f>[1]REFERENCE!$E$37</f>
        <v>0.59279999999999999</v>
      </c>
      <c r="Y44" s="21">
        <f t="shared" si="4"/>
        <v>1.2448799999999999E-2</v>
      </c>
      <c r="AA44" s="29">
        <v>41</v>
      </c>
      <c r="AB44" s="30">
        <v>44984</v>
      </c>
      <c r="AC44" s="46" t="s">
        <v>53</v>
      </c>
      <c r="AD44" s="32">
        <v>24948</v>
      </c>
      <c r="AE44" s="20" t="s">
        <v>32</v>
      </c>
      <c r="AF44" s="33" t="s">
        <v>34</v>
      </c>
      <c r="AG44" s="20">
        <v>702</v>
      </c>
      <c r="AH44" s="20"/>
      <c r="AI44" s="34">
        <f>[1]REFERENCE!$E$38</f>
        <v>9.9600000000000001E-3</v>
      </c>
      <c r="AJ44" s="21">
        <f t="shared" si="0"/>
        <v>0.17443442016000002</v>
      </c>
      <c r="AL44" s="16">
        <v>41</v>
      </c>
      <c r="AM44" s="30">
        <v>44984</v>
      </c>
      <c r="AN44" s="46" t="s">
        <v>53</v>
      </c>
      <c r="AO44" s="32">
        <v>24948</v>
      </c>
      <c r="AP44" s="33" t="s">
        <v>34</v>
      </c>
      <c r="AQ44" s="33" t="s">
        <v>35</v>
      </c>
      <c r="AR44" s="20" t="s">
        <v>114</v>
      </c>
      <c r="AS44" s="35">
        <v>9036</v>
      </c>
      <c r="AT44" s="36">
        <f t="shared" si="5"/>
        <v>16734.672000000002</v>
      </c>
      <c r="AU44" s="35">
        <f>[1]REFERENCE!$E$39</f>
        <v>8.3999999999999995E-3</v>
      </c>
      <c r="AV44" s="37">
        <f t="shared" si="1"/>
        <v>3.5069714152704003</v>
      </c>
      <c r="AX44" s="16"/>
      <c r="AY44" s="43"/>
      <c r="AZ44" s="20"/>
      <c r="BA44" s="44"/>
      <c r="BB44" s="20"/>
      <c r="BC44" s="20"/>
      <c r="BD44" s="35"/>
      <c r="BE44" s="20"/>
      <c r="BF44" s="41"/>
    </row>
    <row r="45" spans="1:58" ht="16.5" thickBot="1" x14ac:dyDescent="0.4">
      <c r="A45" s="20">
        <v>6</v>
      </c>
      <c r="B45" s="30"/>
      <c r="C45" s="38"/>
      <c r="D45" s="32"/>
      <c r="E45" s="33"/>
      <c r="F45" s="33"/>
      <c r="G45" s="20"/>
      <c r="H45" s="35"/>
      <c r="I45" s="20"/>
      <c r="J45" s="20"/>
      <c r="K45" s="20">
        <f>[1]REFERENCE!$E$37</f>
        <v>0.59279999999999999</v>
      </c>
      <c r="L45" s="21">
        <f t="shared" si="7"/>
        <v>0</v>
      </c>
      <c r="N45" s="16">
        <v>42</v>
      </c>
      <c r="O45" s="30">
        <v>44984</v>
      </c>
      <c r="P45" s="46" t="s">
        <v>53</v>
      </c>
      <c r="Q45" s="32">
        <v>24948</v>
      </c>
      <c r="R45" s="20" t="s">
        <v>32</v>
      </c>
      <c r="S45" s="20" t="s">
        <v>30</v>
      </c>
      <c r="T45" s="20">
        <v>21</v>
      </c>
      <c r="U45" s="27" t="s">
        <v>113</v>
      </c>
      <c r="V45" s="20"/>
      <c r="W45" s="20" t="s">
        <v>33</v>
      </c>
      <c r="X45" s="20">
        <f>[1]REFERENCE!$E$37</f>
        <v>0.59279999999999999</v>
      </c>
      <c r="Y45" s="21">
        <f t="shared" si="4"/>
        <v>1.2448799999999999E-2</v>
      </c>
      <c r="AA45" s="29">
        <v>42</v>
      </c>
      <c r="AB45" s="30">
        <v>44990</v>
      </c>
      <c r="AC45" s="31" t="s">
        <v>56</v>
      </c>
      <c r="AD45" s="32">
        <v>25000</v>
      </c>
      <c r="AE45" s="20" t="s">
        <v>32</v>
      </c>
      <c r="AF45" s="33" t="s">
        <v>34</v>
      </c>
      <c r="AG45" s="20">
        <v>702</v>
      </c>
      <c r="AH45" s="20"/>
      <c r="AI45" s="34">
        <f>[1]REFERENCE!$E$38</f>
        <v>9.9600000000000001E-3</v>
      </c>
      <c r="AJ45" s="21">
        <f t="shared" si="0"/>
        <v>0.17479800000000001</v>
      </c>
      <c r="AL45" s="16">
        <v>42</v>
      </c>
      <c r="AM45" s="30">
        <v>44990</v>
      </c>
      <c r="AN45" s="31" t="s">
        <v>56</v>
      </c>
      <c r="AO45" s="32">
        <v>25000</v>
      </c>
      <c r="AP45" s="33" t="s">
        <v>34</v>
      </c>
      <c r="AQ45" s="33" t="s">
        <v>40</v>
      </c>
      <c r="AR45" s="20" t="s">
        <v>114</v>
      </c>
      <c r="AS45" s="35">
        <v>3447</v>
      </c>
      <c r="AT45" s="36">
        <f t="shared" si="5"/>
        <v>6383.8440000000001</v>
      </c>
      <c r="AU45" s="35">
        <f>[1]REFERENCE!$E$39</f>
        <v>8.3999999999999995E-3</v>
      </c>
      <c r="AV45" s="37">
        <f t="shared" si="1"/>
        <v>1.34060724</v>
      </c>
      <c r="AX45" s="16"/>
      <c r="AY45" s="43"/>
      <c r="AZ45" s="20"/>
      <c r="BA45" s="44"/>
      <c r="BB45" s="20"/>
      <c r="BC45" s="20"/>
      <c r="BD45" s="35"/>
      <c r="BE45" s="20"/>
      <c r="BF45" s="41"/>
    </row>
    <row r="46" spans="1:58" ht="16.5" thickBot="1" x14ac:dyDescent="0.4">
      <c r="A46" s="20">
        <v>7</v>
      </c>
      <c r="B46" s="30"/>
      <c r="C46" s="38"/>
      <c r="D46" s="32"/>
      <c r="E46" s="33"/>
      <c r="F46" s="33"/>
      <c r="G46" s="20"/>
      <c r="H46" s="35"/>
      <c r="I46" s="20"/>
      <c r="J46" s="20"/>
      <c r="K46" s="20">
        <f>[1]REFERENCE!$E$37</f>
        <v>0.59279999999999999</v>
      </c>
      <c r="L46" s="21">
        <f t="shared" si="7"/>
        <v>0</v>
      </c>
      <c r="N46" s="16">
        <v>43</v>
      </c>
      <c r="O46" s="30">
        <v>44990</v>
      </c>
      <c r="P46" s="31" t="s">
        <v>56</v>
      </c>
      <c r="Q46" s="32">
        <v>25000</v>
      </c>
      <c r="R46" s="20" t="s">
        <v>32</v>
      </c>
      <c r="S46" s="20" t="s">
        <v>30</v>
      </c>
      <c r="T46" s="20">
        <v>21</v>
      </c>
      <c r="U46" s="27" t="s">
        <v>113</v>
      </c>
      <c r="V46" s="20"/>
      <c r="W46" s="20" t="s">
        <v>33</v>
      </c>
      <c r="X46" s="20">
        <f>[1]REFERENCE!$E$37</f>
        <v>0.59279999999999999</v>
      </c>
      <c r="Y46" s="21">
        <f t="shared" si="4"/>
        <v>1.2448799999999999E-2</v>
      </c>
      <c r="AA46" s="29">
        <v>43</v>
      </c>
      <c r="AB46" s="30">
        <v>44991</v>
      </c>
      <c r="AC46" s="31" t="s">
        <v>56</v>
      </c>
      <c r="AD46" s="32">
        <v>25000</v>
      </c>
      <c r="AE46" s="20" t="s">
        <v>32</v>
      </c>
      <c r="AF46" s="33" t="s">
        <v>34</v>
      </c>
      <c r="AG46" s="20">
        <v>702</v>
      </c>
      <c r="AH46" s="20"/>
      <c r="AI46" s="34">
        <f>[1]REFERENCE!$E$38</f>
        <v>9.9600000000000001E-3</v>
      </c>
      <c r="AJ46" s="21">
        <f t="shared" si="0"/>
        <v>0.17479800000000001</v>
      </c>
      <c r="AL46" s="16">
        <v>43</v>
      </c>
      <c r="AM46" s="30">
        <v>44991</v>
      </c>
      <c r="AN46" s="31" t="s">
        <v>56</v>
      </c>
      <c r="AO46" s="32">
        <v>25000</v>
      </c>
      <c r="AP46" s="33" t="s">
        <v>34</v>
      </c>
      <c r="AQ46" s="33" t="s">
        <v>40</v>
      </c>
      <c r="AR46" s="20" t="s">
        <v>114</v>
      </c>
      <c r="AS46" s="35">
        <v>3447</v>
      </c>
      <c r="AT46" s="36">
        <f t="shared" si="5"/>
        <v>6383.8440000000001</v>
      </c>
      <c r="AU46" s="35">
        <f>[1]REFERENCE!$E$39</f>
        <v>8.3999999999999995E-3</v>
      </c>
      <c r="AV46" s="37">
        <f t="shared" si="1"/>
        <v>1.34060724</v>
      </c>
      <c r="AX46" s="16"/>
      <c r="AY46" s="43"/>
      <c r="AZ46" s="20"/>
      <c r="BA46" s="44"/>
      <c r="BB46" s="20"/>
      <c r="BC46" s="20"/>
      <c r="BD46" s="35"/>
      <c r="BE46" s="20"/>
      <c r="BF46" s="41"/>
    </row>
    <row r="47" spans="1:58" ht="16.5" thickBot="1" x14ac:dyDescent="0.4">
      <c r="A47" s="20">
        <v>8</v>
      </c>
      <c r="B47" s="30"/>
      <c r="C47" s="38"/>
      <c r="D47" s="32"/>
      <c r="E47" s="33"/>
      <c r="F47" s="33"/>
      <c r="G47" s="20"/>
      <c r="H47" s="35"/>
      <c r="I47" s="20"/>
      <c r="J47" s="20"/>
      <c r="K47" s="20">
        <f>[1]REFERENCE!$E$37</f>
        <v>0.59279999999999999</v>
      </c>
      <c r="L47" s="21">
        <f t="shared" si="7"/>
        <v>0</v>
      </c>
      <c r="N47" s="16">
        <v>44</v>
      </c>
      <c r="O47" s="30">
        <v>44991</v>
      </c>
      <c r="P47" s="31" t="s">
        <v>56</v>
      </c>
      <c r="Q47" s="32">
        <v>25000</v>
      </c>
      <c r="R47" s="20" t="s">
        <v>32</v>
      </c>
      <c r="S47" s="20" t="s">
        <v>30</v>
      </c>
      <c r="T47" s="20">
        <v>21</v>
      </c>
      <c r="U47" s="27" t="s">
        <v>113</v>
      </c>
      <c r="V47" s="20"/>
      <c r="W47" s="20" t="s">
        <v>33</v>
      </c>
      <c r="X47" s="20">
        <f>[1]REFERENCE!$E$37</f>
        <v>0.59279999999999999</v>
      </c>
      <c r="Y47" s="21">
        <f t="shared" si="4"/>
        <v>1.2448799999999999E-2</v>
      </c>
      <c r="AA47" s="29">
        <v>44</v>
      </c>
      <c r="AB47" s="30">
        <v>44993</v>
      </c>
      <c r="AC47" s="46" t="s">
        <v>59</v>
      </c>
      <c r="AD47" s="32">
        <v>13452</v>
      </c>
      <c r="AE47" s="20" t="s">
        <v>32</v>
      </c>
      <c r="AF47" s="33" t="s">
        <v>34</v>
      </c>
      <c r="AG47" s="20">
        <v>702</v>
      </c>
      <c r="AH47" s="20"/>
      <c r="AI47" s="34">
        <f>[1]REFERENCE!$E$38</f>
        <v>9.9600000000000001E-3</v>
      </c>
      <c r="AJ47" s="21">
        <f t="shared" si="0"/>
        <v>9.4055307839999991E-2</v>
      </c>
      <c r="AL47" s="16">
        <v>44</v>
      </c>
      <c r="AM47" s="30">
        <v>44993</v>
      </c>
      <c r="AN47" s="38" t="s">
        <v>59</v>
      </c>
      <c r="AO47" s="32">
        <v>13452</v>
      </c>
      <c r="AP47" s="33" t="s">
        <v>34</v>
      </c>
      <c r="AQ47" s="33" t="s">
        <v>35</v>
      </c>
      <c r="AR47" s="20" t="s">
        <v>114</v>
      </c>
      <c r="AS47" s="35">
        <v>9036</v>
      </c>
      <c r="AT47" s="36">
        <f t="shared" si="5"/>
        <v>16734.672000000002</v>
      </c>
      <c r="AU47" s="35">
        <f>[1]REFERENCE!$E$39</f>
        <v>8.3999999999999995E-3</v>
      </c>
      <c r="AV47" s="37">
        <f t="shared" si="1"/>
        <v>1.8909643850495998</v>
      </c>
      <c r="AX47" s="16"/>
      <c r="AY47" s="43"/>
      <c r="AZ47" s="20"/>
      <c r="BA47" s="44"/>
      <c r="BB47" s="20"/>
      <c r="BC47" s="20"/>
      <c r="BD47" s="35"/>
      <c r="BE47" s="20"/>
      <c r="BF47" s="41"/>
    </row>
    <row r="48" spans="1:58" ht="16.5" thickBot="1" x14ac:dyDescent="0.4">
      <c r="A48" s="20">
        <v>9</v>
      </c>
      <c r="B48" s="30"/>
      <c r="C48" s="38"/>
      <c r="D48" s="32"/>
      <c r="E48" s="33"/>
      <c r="F48" s="33"/>
      <c r="G48" s="20"/>
      <c r="H48" s="35"/>
      <c r="I48" s="20"/>
      <c r="J48" s="20"/>
      <c r="K48" s="20">
        <f>[1]REFERENCE!$E$37</f>
        <v>0.59279999999999999</v>
      </c>
      <c r="L48" s="21">
        <f t="shared" si="7"/>
        <v>0</v>
      </c>
      <c r="N48" s="16">
        <v>45</v>
      </c>
      <c r="O48" s="30">
        <v>44993</v>
      </c>
      <c r="P48" s="38" t="s">
        <v>59</v>
      </c>
      <c r="Q48" s="32">
        <v>13452</v>
      </c>
      <c r="R48" s="20" t="s">
        <v>32</v>
      </c>
      <c r="S48" s="20" t="s">
        <v>30</v>
      </c>
      <c r="T48" s="20">
        <v>21</v>
      </c>
      <c r="U48" s="27" t="s">
        <v>113</v>
      </c>
      <c r="V48" s="20"/>
      <c r="W48" s="20" t="s">
        <v>33</v>
      </c>
      <c r="X48" s="20">
        <f>[1]REFERENCE!$E$37</f>
        <v>0.59279999999999999</v>
      </c>
      <c r="Y48" s="21">
        <f t="shared" si="4"/>
        <v>1.2448799999999999E-2</v>
      </c>
      <c r="AA48" s="29">
        <v>45</v>
      </c>
      <c r="AB48" s="30">
        <v>44995</v>
      </c>
      <c r="AC48" s="31" t="s">
        <v>47</v>
      </c>
      <c r="AD48" s="32">
        <v>24946.9</v>
      </c>
      <c r="AE48" s="20" t="s">
        <v>32</v>
      </c>
      <c r="AF48" s="33" t="s">
        <v>34</v>
      </c>
      <c r="AG48" s="20">
        <v>702</v>
      </c>
      <c r="AH48" s="20"/>
      <c r="AI48" s="34">
        <f>[1]REFERENCE!$E$38</f>
        <v>9.9600000000000001E-3</v>
      </c>
      <c r="AJ48" s="21">
        <f t="shared" si="0"/>
        <v>0.174426729048</v>
      </c>
      <c r="AL48" s="16">
        <v>45</v>
      </c>
      <c r="AM48" s="30">
        <v>44995</v>
      </c>
      <c r="AN48" s="38" t="s">
        <v>47</v>
      </c>
      <c r="AO48" s="32">
        <v>24946.9</v>
      </c>
      <c r="AP48" s="33" t="s">
        <v>34</v>
      </c>
      <c r="AQ48" s="33" t="s">
        <v>35</v>
      </c>
      <c r="AR48" s="20" t="s">
        <v>114</v>
      </c>
      <c r="AS48" s="35">
        <v>9036</v>
      </c>
      <c r="AT48" s="36">
        <f t="shared" si="5"/>
        <v>16734.672000000002</v>
      </c>
      <c r="AU48" s="35">
        <f>[1]REFERENCE!$E$39</f>
        <v>8.3999999999999995E-3</v>
      </c>
      <c r="AV48" s="37">
        <f t="shared" si="1"/>
        <v>3.5068167869011204</v>
      </c>
      <c r="AX48" s="16"/>
      <c r="AY48" s="43"/>
      <c r="AZ48" s="20"/>
      <c r="BA48" s="44"/>
      <c r="BB48" s="20"/>
      <c r="BC48" s="20"/>
      <c r="BD48" s="35"/>
      <c r="BE48" s="20"/>
      <c r="BF48" s="41"/>
    </row>
    <row r="49" spans="1:58" ht="16.5" thickBot="1" x14ac:dyDescent="0.4">
      <c r="A49" s="60" t="s">
        <v>60</v>
      </c>
      <c r="B49" s="61"/>
      <c r="C49" s="61"/>
      <c r="D49" s="62">
        <f>SUM(D4:D48)</f>
        <v>610200.18999999994</v>
      </c>
      <c r="E49" s="63"/>
      <c r="F49" s="63"/>
      <c r="G49" s="62">
        <f>SUM(G4:G48)</f>
        <v>5454</v>
      </c>
      <c r="H49" s="62">
        <f>SUM(H4:H48)</f>
        <v>14148</v>
      </c>
      <c r="I49" s="63"/>
      <c r="J49" s="63"/>
      <c r="K49" s="63"/>
      <c r="L49" s="63">
        <f>SUM(L4:L48)</f>
        <v>8.3869344000000012</v>
      </c>
      <c r="N49" s="16">
        <v>46</v>
      </c>
      <c r="O49" s="30">
        <v>44995</v>
      </c>
      <c r="P49" s="38" t="s">
        <v>47</v>
      </c>
      <c r="Q49" s="32">
        <v>24946.9</v>
      </c>
      <c r="R49" s="20" t="s">
        <v>32</v>
      </c>
      <c r="S49" s="20" t="s">
        <v>30</v>
      </c>
      <c r="T49" s="20">
        <v>21</v>
      </c>
      <c r="U49" s="27" t="s">
        <v>113</v>
      </c>
      <c r="V49" s="20"/>
      <c r="W49" s="20" t="s">
        <v>33</v>
      </c>
      <c r="X49" s="20">
        <f>[1]REFERENCE!$E$37</f>
        <v>0.59279999999999999</v>
      </c>
      <c r="Y49" s="21">
        <f t="shared" si="4"/>
        <v>1.2448799999999999E-2</v>
      </c>
      <c r="AA49" s="29">
        <v>46</v>
      </c>
      <c r="AB49" s="30">
        <v>44998</v>
      </c>
      <c r="AC49" s="31" t="s">
        <v>57</v>
      </c>
      <c r="AD49" s="32">
        <v>24948</v>
      </c>
      <c r="AE49" s="20" t="s">
        <v>32</v>
      </c>
      <c r="AF49" s="33" t="s">
        <v>34</v>
      </c>
      <c r="AG49" s="20">
        <v>702</v>
      </c>
      <c r="AH49" s="64"/>
      <c r="AI49" s="34">
        <f>[1]REFERENCE!$E$38</f>
        <v>9.9600000000000001E-3</v>
      </c>
      <c r="AJ49" s="21">
        <f t="shared" si="0"/>
        <v>0.17443442016000002</v>
      </c>
      <c r="AL49" s="16">
        <v>46</v>
      </c>
      <c r="AM49" s="30">
        <v>44998</v>
      </c>
      <c r="AN49" s="31" t="s">
        <v>57</v>
      </c>
      <c r="AO49" s="32">
        <v>24948</v>
      </c>
      <c r="AP49" s="33" t="s">
        <v>34</v>
      </c>
      <c r="AQ49" s="33" t="s">
        <v>35</v>
      </c>
      <c r="AR49" s="20" t="s">
        <v>114</v>
      </c>
      <c r="AS49" s="35">
        <v>9036</v>
      </c>
      <c r="AT49" s="36">
        <f t="shared" si="5"/>
        <v>16734.672000000002</v>
      </c>
      <c r="AU49" s="35">
        <f>[1]REFERENCE!$E$39</f>
        <v>8.3999999999999995E-3</v>
      </c>
      <c r="AV49" s="37">
        <f t="shared" si="1"/>
        <v>3.5069714152704003</v>
      </c>
      <c r="AX49" s="164" t="s">
        <v>60</v>
      </c>
      <c r="AY49" s="165"/>
      <c r="AZ49" s="165"/>
      <c r="BA49" s="165"/>
      <c r="BB49" s="165"/>
      <c r="BC49" s="165"/>
      <c r="BD49" s="165"/>
      <c r="BE49" s="165"/>
      <c r="BF49" s="66">
        <f>SUM(BF4:BF48)</f>
        <v>6.5639124999999998</v>
      </c>
    </row>
    <row r="50" spans="1:58" ht="16.5" thickBot="1" x14ac:dyDescent="0.4">
      <c r="N50" s="16">
        <v>47</v>
      </c>
      <c r="O50" s="30">
        <v>44998</v>
      </c>
      <c r="P50" s="31" t="s">
        <v>57</v>
      </c>
      <c r="Q50" s="32">
        <v>24948</v>
      </c>
      <c r="R50" s="20" t="s">
        <v>32</v>
      </c>
      <c r="S50" s="20" t="s">
        <v>30</v>
      </c>
      <c r="T50" s="20">
        <v>21</v>
      </c>
      <c r="U50" s="27" t="s">
        <v>113</v>
      </c>
      <c r="V50" s="20"/>
      <c r="W50" s="20" t="s">
        <v>33</v>
      </c>
      <c r="X50" s="20">
        <f>[1]REFERENCE!$E$37</f>
        <v>0.59279999999999999</v>
      </c>
      <c r="Y50" s="21">
        <f t="shared" si="4"/>
        <v>1.2448799999999999E-2</v>
      </c>
      <c r="AA50" s="29">
        <v>47</v>
      </c>
      <c r="AB50" s="30">
        <v>45000</v>
      </c>
      <c r="AC50" s="46" t="s">
        <v>47</v>
      </c>
      <c r="AD50" s="32">
        <v>24946.9</v>
      </c>
      <c r="AE50" s="20" t="s">
        <v>32</v>
      </c>
      <c r="AF50" s="33" t="s">
        <v>34</v>
      </c>
      <c r="AG50" s="20">
        <v>702</v>
      </c>
      <c r="AI50" s="34">
        <f>[1]REFERENCE!$E$38</f>
        <v>9.9600000000000001E-3</v>
      </c>
      <c r="AJ50" s="21">
        <f t="shared" si="0"/>
        <v>0.174426729048</v>
      </c>
      <c r="AL50" s="16">
        <v>47</v>
      </c>
      <c r="AM50" s="30">
        <v>45000</v>
      </c>
      <c r="AN50" s="46" t="s">
        <v>47</v>
      </c>
      <c r="AO50" s="57">
        <v>24946.9</v>
      </c>
      <c r="AP50" s="33" t="s">
        <v>34</v>
      </c>
      <c r="AQ50" s="33" t="s">
        <v>35</v>
      </c>
      <c r="AR50" s="20" t="s">
        <v>114</v>
      </c>
      <c r="AS50" s="35">
        <v>9036</v>
      </c>
      <c r="AT50" s="36">
        <f t="shared" si="5"/>
        <v>16734.672000000002</v>
      </c>
      <c r="AU50" s="35">
        <f>[1]REFERENCE!$E$39</f>
        <v>8.3999999999999995E-3</v>
      </c>
      <c r="AV50" s="37">
        <f t="shared" si="1"/>
        <v>3.5068167869011204</v>
      </c>
    </row>
    <row r="51" spans="1:58" ht="16.5" thickBot="1" x14ac:dyDescent="0.4">
      <c r="N51" s="16">
        <v>48</v>
      </c>
      <c r="O51" s="30">
        <v>45000</v>
      </c>
      <c r="P51" s="46" t="s">
        <v>47</v>
      </c>
      <c r="Q51" s="57">
        <v>24946.9</v>
      </c>
      <c r="R51" s="20" t="s">
        <v>32</v>
      </c>
      <c r="S51" s="20" t="s">
        <v>30</v>
      </c>
      <c r="T51" s="20">
        <v>21</v>
      </c>
      <c r="U51" s="27" t="s">
        <v>113</v>
      </c>
      <c r="V51" s="20"/>
      <c r="W51" s="20" t="s">
        <v>33</v>
      </c>
      <c r="X51" s="20">
        <f>[1]REFERENCE!$E$37</f>
        <v>0.59279999999999999</v>
      </c>
      <c r="Y51" s="21">
        <f t="shared" si="4"/>
        <v>1.2448799999999999E-2</v>
      </c>
      <c r="AA51" s="29">
        <v>48</v>
      </c>
      <c r="AB51" s="30">
        <v>45014</v>
      </c>
      <c r="AC51" s="46" t="s">
        <v>58</v>
      </c>
      <c r="AD51" s="32">
        <v>24948</v>
      </c>
      <c r="AE51" s="20" t="s">
        <v>32</v>
      </c>
      <c r="AF51" s="33" t="s">
        <v>34</v>
      </c>
      <c r="AG51" s="20">
        <v>702</v>
      </c>
      <c r="AI51" s="34">
        <f>[1]REFERENCE!$E$38</f>
        <v>9.9600000000000001E-3</v>
      </c>
      <c r="AJ51" s="21">
        <f t="shared" si="0"/>
        <v>0.17443442016000002</v>
      </c>
      <c r="AL51" s="16">
        <v>48</v>
      </c>
      <c r="AM51" s="30">
        <v>45014</v>
      </c>
      <c r="AN51" s="31" t="s">
        <v>58</v>
      </c>
      <c r="AO51" s="32">
        <v>24948</v>
      </c>
      <c r="AP51" s="33" t="s">
        <v>34</v>
      </c>
      <c r="AQ51" s="33" t="s">
        <v>35</v>
      </c>
      <c r="AR51" s="20" t="s">
        <v>114</v>
      </c>
      <c r="AS51" s="35">
        <v>9036</v>
      </c>
      <c r="AT51" s="36">
        <f t="shared" si="5"/>
        <v>16734.672000000002</v>
      </c>
      <c r="AU51" s="35">
        <f>[1]REFERENCE!$E$39</f>
        <v>8.3999999999999995E-3</v>
      </c>
      <c r="AV51" s="37">
        <f t="shared" si="1"/>
        <v>3.5069714152704003</v>
      </c>
    </row>
    <row r="52" spans="1:58" ht="16.5" thickBot="1" x14ac:dyDescent="0.4">
      <c r="N52" s="16">
        <v>49</v>
      </c>
      <c r="O52" s="30">
        <v>45014</v>
      </c>
      <c r="P52" s="31" t="s">
        <v>58</v>
      </c>
      <c r="Q52" s="32">
        <v>24948</v>
      </c>
      <c r="R52" s="20" t="s">
        <v>32</v>
      </c>
      <c r="S52" s="20" t="s">
        <v>30</v>
      </c>
      <c r="T52" s="20">
        <v>21</v>
      </c>
      <c r="U52" s="27" t="s">
        <v>113</v>
      </c>
      <c r="V52" s="20"/>
      <c r="W52" s="20" t="s">
        <v>33</v>
      </c>
      <c r="X52" s="20">
        <f>[1]REFERENCE!$E$37</f>
        <v>0.59279999999999999</v>
      </c>
      <c r="Y52" s="21">
        <f t="shared" si="4"/>
        <v>1.2448799999999999E-2</v>
      </c>
      <c r="AA52" s="29">
        <v>49</v>
      </c>
      <c r="AB52" s="30">
        <v>45015</v>
      </c>
      <c r="AC52" s="31" t="s">
        <v>61</v>
      </c>
      <c r="AD52" s="32">
        <v>10001.879999999999</v>
      </c>
      <c r="AE52" s="20" t="s">
        <v>32</v>
      </c>
      <c r="AF52" s="33" t="s">
        <v>34</v>
      </c>
      <c r="AG52" s="20">
        <v>702</v>
      </c>
      <c r="AI52" s="34">
        <f>[1]REFERENCE!$E$38</f>
        <v>9.9600000000000001E-3</v>
      </c>
      <c r="AJ52" s="21">
        <f t="shared" si="0"/>
        <v>6.9932344809599992E-2</v>
      </c>
      <c r="AL52" s="16">
        <v>49</v>
      </c>
      <c r="AM52" s="30">
        <v>45015</v>
      </c>
      <c r="AN52" s="38" t="s">
        <v>61</v>
      </c>
      <c r="AO52" s="32">
        <v>10001.879999999999</v>
      </c>
      <c r="AP52" s="33" t="s">
        <v>34</v>
      </c>
      <c r="AQ52" s="33" t="s">
        <v>35</v>
      </c>
      <c r="AR52" s="20" t="s">
        <v>114</v>
      </c>
      <c r="AS52" s="35">
        <v>9036</v>
      </c>
      <c r="AT52" s="36">
        <f t="shared" si="5"/>
        <v>16734.672000000002</v>
      </c>
      <c r="AU52" s="35">
        <f>[1]REFERENCE!$E$39</f>
        <v>8.3999999999999995E-3</v>
      </c>
      <c r="AV52" s="37">
        <f t="shared" si="1"/>
        <v>1.4059767219402242</v>
      </c>
    </row>
    <row r="53" spans="1:58" ht="16.5" thickBot="1" x14ac:dyDescent="0.4">
      <c r="B53" s="68" t="s">
        <v>62</v>
      </c>
      <c r="C53" s="69"/>
      <c r="D53" s="70">
        <f>L49+AJ74+AV81+BF49</f>
        <v>171.37967467158134</v>
      </c>
      <c r="N53" s="16">
        <v>50</v>
      </c>
      <c r="O53" s="30">
        <v>45015</v>
      </c>
      <c r="P53" s="38" t="s">
        <v>61</v>
      </c>
      <c r="Q53" s="32">
        <v>10001.879999999999</v>
      </c>
      <c r="R53" s="20" t="s">
        <v>32</v>
      </c>
      <c r="S53" s="20" t="s">
        <v>30</v>
      </c>
      <c r="T53" s="20">
        <v>21</v>
      </c>
      <c r="U53" s="27" t="s">
        <v>113</v>
      </c>
      <c r="V53" s="20"/>
      <c r="W53" s="20" t="s">
        <v>33</v>
      </c>
      <c r="X53" s="20">
        <f>[1]REFERENCE!$E$37</f>
        <v>0.59279999999999999</v>
      </c>
      <c r="Y53" s="21">
        <f t="shared" si="4"/>
        <v>1.2448799999999999E-2</v>
      </c>
      <c r="AA53" s="29">
        <v>50</v>
      </c>
      <c r="AB53" s="30">
        <v>45015</v>
      </c>
      <c r="AC53" s="31" t="s">
        <v>63</v>
      </c>
      <c r="AD53" s="32">
        <v>12020.4</v>
      </c>
      <c r="AE53" s="20" t="s">
        <v>32</v>
      </c>
      <c r="AF53" s="33" t="s">
        <v>34</v>
      </c>
      <c r="AG53" s="20">
        <v>702</v>
      </c>
      <c r="AI53" s="34">
        <f>[1]REFERENCE!$E$38</f>
        <v>9.9600000000000001E-3</v>
      </c>
      <c r="AJ53" s="21">
        <f t="shared" si="0"/>
        <v>8.4045675167999989E-2</v>
      </c>
      <c r="AL53" s="16">
        <v>50</v>
      </c>
      <c r="AM53" s="30">
        <v>45015</v>
      </c>
      <c r="AN53" s="38" t="s">
        <v>63</v>
      </c>
      <c r="AO53" s="32">
        <v>12020.4</v>
      </c>
      <c r="AP53" s="33" t="s">
        <v>34</v>
      </c>
      <c r="AQ53" s="33" t="s">
        <v>35</v>
      </c>
      <c r="AR53" s="20" t="s">
        <v>114</v>
      </c>
      <c r="AS53" s="35">
        <v>9036</v>
      </c>
      <c r="AT53" s="36">
        <f t="shared" si="5"/>
        <v>16734.672000000002</v>
      </c>
      <c r="AU53" s="35">
        <f>[1]REFERENCE!$E$39</f>
        <v>8.3999999999999995E-3</v>
      </c>
      <c r="AV53" s="37">
        <f t="shared" si="1"/>
        <v>1.6897225909939202</v>
      </c>
    </row>
    <row r="54" spans="1:58" ht="16.5" thickBot="1" x14ac:dyDescent="0.4">
      <c r="N54" s="16">
        <v>51</v>
      </c>
      <c r="O54" s="30">
        <v>45015</v>
      </c>
      <c r="P54" s="38" t="s">
        <v>63</v>
      </c>
      <c r="Q54" s="32">
        <v>12020.4</v>
      </c>
      <c r="R54" s="20" t="s">
        <v>32</v>
      </c>
      <c r="S54" s="20" t="s">
        <v>30</v>
      </c>
      <c r="T54" s="20">
        <v>21</v>
      </c>
      <c r="U54" s="27" t="s">
        <v>113</v>
      </c>
      <c r="V54" s="20"/>
      <c r="W54" s="20" t="s">
        <v>33</v>
      </c>
      <c r="X54" s="20">
        <f>[1]REFERENCE!$E$37</f>
        <v>0.59279999999999999</v>
      </c>
      <c r="Y54" s="21">
        <f t="shared" si="4"/>
        <v>1.2448799999999999E-2</v>
      </c>
      <c r="AA54" s="29">
        <v>51</v>
      </c>
      <c r="AB54" s="30">
        <v>45015</v>
      </c>
      <c r="AC54" s="31" t="s">
        <v>61</v>
      </c>
      <c r="AD54" s="32">
        <v>2962</v>
      </c>
      <c r="AE54" s="20" t="s">
        <v>32</v>
      </c>
      <c r="AF54" s="33" t="s">
        <v>34</v>
      </c>
      <c r="AG54" s="20">
        <v>702</v>
      </c>
      <c r="AI54" s="34">
        <f>[1]REFERENCE!$E$38</f>
        <v>9.9600000000000001E-3</v>
      </c>
      <c r="AJ54" s="21">
        <f t="shared" si="0"/>
        <v>2.0710067040000002E-2</v>
      </c>
      <c r="AL54" s="16">
        <v>51</v>
      </c>
      <c r="AM54" s="30">
        <v>45015</v>
      </c>
      <c r="AN54" s="31" t="s">
        <v>61</v>
      </c>
      <c r="AO54" s="32">
        <v>2962</v>
      </c>
      <c r="AP54" s="33" t="s">
        <v>34</v>
      </c>
      <c r="AQ54" s="33" t="s">
        <v>35</v>
      </c>
      <c r="AR54" s="20" t="s">
        <v>114</v>
      </c>
      <c r="AS54" s="35">
        <v>9036</v>
      </c>
      <c r="AT54" s="36">
        <f t="shared" si="5"/>
        <v>16734.672000000002</v>
      </c>
      <c r="AU54" s="35">
        <f>[1]REFERENCE!$E$39</f>
        <v>8.3999999999999995E-3</v>
      </c>
      <c r="AV54" s="37">
        <f t="shared" si="1"/>
        <v>0.41637202709760007</v>
      </c>
    </row>
    <row r="55" spans="1:58" ht="16.5" thickBot="1" x14ac:dyDescent="0.4">
      <c r="N55" s="16">
        <v>52</v>
      </c>
      <c r="O55" s="30">
        <v>45015</v>
      </c>
      <c r="P55" s="31" t="s">
        <v>61</v>
      </c>
      <c r="Q55" s="32">
        <v>2962</v>
      </c>
      <c r="R55" s="20" t="s">
        <v>32</v>
      </c>
      <c r="S55" s="20" t="s">
        <v>30</v>
      </c>
      <c r="T55" s="20">
        <v>21</v>
      </c>
      <c r="U55" s="27" t="s">
        <v>113</v>
      </c>
      <c r="V55" s="20"/>
      <c r="W55" s="20" t="s">
        <v>33</v>
      </c>
      <c r="X55" s="20">
        <f>[1]REFERENCE!$E$37</f>
        <v>0.59279999999999999</v>
      </c>
      <c r="Y55" s="21">
        <f t="shared" si="4"/>
        <v>1.2448799999999999E-2</v>
      </c>
      <c r="AA55" s="29">
        <v>52</v>
      </c>
      <c r="AB55" s="30">
        <v>45016</v>
      </c>
      <c r="AC55" s="31" t="s">
        <v>58</v>
      </c>
      <c r="AD55" s="32">
        <v>24948</v>
      </c>
      <c r="AE55" s="20" t="s">
        <v>32</v>
      </c>
      <c r="AF55" s="33" t="s">
        <v>34</v>
      </c>
      <c r="AG55" s="20">
        <v>702</v>
      </c>
      <c r="AI55" s="34">
        <f>[1]REFERENCE!$E$38</f>
        <v>9.9600000000000001E-3</v>
      </c>
      <c r="AJ55" s="21">
        <f t="shared" si="0"/>
        <v>0.17443442016000002</v>
      </c>
      <c r="AL55" s="16">
        <v>52</v>
      </c>
      <c r="AM55" s="30">
        <v>45016</v>
      </c>
      <c r="AN55" s="31" t="s">
        <v>58</v>
      </c>
      <c r="AO55" s="32">
        <v>24948</v>
      </c>
      <c r="AP55" s="33" t="s">
        <v>34</v>
      </c>
      <c r="AQ55" s="33" t="s">
        <v>35</v>
      </c>
      <c r="AR55" s="20" t="s">
        <v>114</v>
      </c>
      <c r="AS55" s="35">
        <v>9036</v>
      </c>
      <c r="AT55" s="36">
        <f t="shared" si="5"/>
        <v>16734.672000000002</v>
      </c>
      <c r="AU55" s="35">
        <f>[1]REFERENCE!$E$39</f>
        <v>8.3999999999999995E-3</v>
      </c>
      <c r="AV55" s="37">
        <f t="shared" si="1"/>
        <v>3.5069714152704003</v>
      </c>
    </row>
    <row r="56" spans="1:58" ht="16.5" thickBot="1" x14ac:dyDescent="0.4">
      <c r="N56" s="16">
        <v>53</v>
      </c>
      <c r="O56" s="30">
        <v>45016</v>
      </c>
      <c r="P56" s="31" t="s">
        <v>58</v>
      </c>
      <c r="Q56" s="32">
        <v>24948</v>
      </c>
      <c r="R56" s="20" t="s">
        <v>32</v>
      </c>
      <c r="S56" s="20" t="s">
        <v>30</v>
      </c>
      <c r="T56" s="20">
        <v>21</v>
      </c>
      <c r="U56" s="27" t="s">
        <v>113</v>
      </c>
      <c r="V56" s="20"/>
      <c r="W56" s="20" t="s">
        <v>33</v>
      </c>
      <c r="X56" s="20">
        <f>[1]REFERENCE!$E$37</f>
        <v>0.59279999999999999</v>
      </c>
      <c r="Y56" s="21">
        <f t="shared" si="4"/>
        <v>1.2448799999999999E-2</v>
      </c>
      <c r="AA56" s="29">
        <v>53</v>
      </c>
      <c r="AB56" s="30">
        <v>45016</v>
      </c>
      <c r="AC56" s="31" t="s">
        <v>57</v>
      </c>
      <c r="AD56" s="32">
        <v>24948</v>
      </c>
      <c r="AE56" s="20" t="s">
        <v>32</v>
      </c>
      <c r="AF56" s="33" t="s">
        <v>34</v>
      </c>
      <c r="AG56" s="20">
        <v>702</v>
      </c>
      <c r="AI56" s="34">
        <f>[1]REFERENCE!$E$38</f>
        <v>9.9600000000000001E-3</v>
      </c>
      <c r="AJ56" s="21">
        <f t="shared" si="0"/>
        <v>0.17443442016000002</v>
      </c>
      <c r="AL56" s="16">
        <v>53</v>
      </c>
      <c r="AM56" s="30">
        <v>45016</v>
      </c>
      <c r="AN56" s="46" t="s">
        <v>57</v>
      </c>
      <c r="AO56" s="32">
        <v>24948</v>
      </c>
      <c r="AP56" s="33" t="s">
        <v>34</v>
      </c>
      <c r="AQ56" s="44" t="s">
        <v>35</v>
      </c>
      <c r="AR56" s="20" t="s">
        <v>114</v>
      </c>
      <c r="AS56" s="49">
        <v>9036</v>
      </c>
      <c r="AT56" s="36">
        <f t="shared" si="5"/>
        <v>16734.672000000002</v>
      </c>
      <c r="AU56" s="35">
        <f>[1]REFERENCE!$E$39</f>
        <v>8.3999999999999995E-3</v>
      </c>
      <c r="AV56" s="37">
        <f t="shared" si="1"/>
        <v>3.5069714152704003</v>
      </c>
    </row>
    <row r="57" spans="1:58" ht="16.5" thickBot="1" x14ac:dyDescent="0.4">
      <c r="A57" t="s">
        <v>107</v>
      </c>
      <c r="B57" s="71"/>
      <c r="N57" s="16">
        <v>54</v>
      </c>
      <c r="O57" s="30">
        <v>45016</v>
      </c>
      <c r="P57" s="46" t="s">
        <v>57</v>
      </c>
      <c r="Q57" s="32">
        <v>24948</v>
      </c>
      <c r="R57" s="20" t="s">
        <v>32</v>
      </c>
      <c r="S57" s="20" t="s">
        <v>30</v>
      </c>
      <c r="T57" s="20">
        <v>21</v>
      </c>
      <c r="U57" s="27" t="s">
        <v>113</v>
      </c>
      <c r="V57" s="20"/>
      <c r="W57" s="20" t="s">
        <v>33</v>
      </c>
      <c r="X57" s="20">
        <f>[1]REFERENCE!$E$37</f>
        <v>0.59279999999999999</v>
      </c>
      <c r="Y57" s="21">
        <f t="shared" si="4"/>
        <v>1.2448799999999999E-2</v>
      </c>
      <c r="AA57" s="29">
        <v>54</v>
      </c>
      <c r="AB57" s="30">
        <v>45017</v>
      </c>
      <c r="AC57" s="31" t="s">
        <v>47</v>
      </c>
      <c r="AD57" s="32">
        <v>12972.388000000001</v>
      </c>
      <c r="AE57" s="20" t="s">
        <v>32</v>
      </c>
      <c r="AF57" s="33" t="s">
        <v>34</v>
      </c>
      <c r="AG57" s="20">
        <v>702</v>
      </c>
      <c r="AI57" s="34">
        <f>[1]REFERENCE!$E$38</f>
        <v>9.9600000000000001E-3</v>
      </c>
      <c r="AJ57" s="21">
        <f t="shared" si="0"/>
        <v>9.0701899104960002E-2</v>
      </c>
      <c r="AL57" s="16">
        <v>54</v>
      </c>
      <c r="AM57" s="30">
        <v>45017</v>
      </c>
      <c r="AN57" s="31" t="s">
        <v>47</v>
      </c>
      <c r="AO57" s="32">
        <v>12972.388000000001</v>
      </c>
      <c r="AP57" s="33" t="s">
        <v>34</v>
      </c>
      <c r="AQ57" s="33" t="s">
        <v>35</v>
      </c>
      <c r="AR57" s="20" t="s">
        <v>114</v>
      </c>
      <c r="AS57" s="35">
        <v>9036</v>
      </c>
      <c r="AT57" s="36">
        <f t="shared" si="5"/>
        <v>16734.672000000002</v>
      </c>
      <c r="AU57" s="35">
        <f>[1]REFERENCE!$E$39</f>
        <v>8.3999999999999995E-3</v>
      </c>
      <c r="AV57" s="37">
        <f t="shared" si="1"/>
        <v>1.8235447291885827</v>
      </c>
    </row>
    <row r="58" spans="1:58" ht="16.5" thickBot="1" x14ac:dyDescent="0.4">
      <c r="A58" t="s">
        <v>108</v>
      </c>
      <c r="B58" s="43"/>
      <c r="N58" s="16">
        <v>55</v>
      </c>
      <c r="O58" s="30">
        <v>45017</v>
      </c>
      <c r="P58" s="31" t="s">
        <v>47</v>
      </c>
      <c r="Q58" s="32">
        <v>12972.388000000001</v>
      </c>
      <c r="R58" s="20" t="s">
        <v>32</v>
      </c>
      <c r="S58" s="20" t="s">
        <v>30</v>
      </c>
      <c r="T58" s="20">
        <v>21</v>
      </c>
      <c r="U58" s="27" t="s">
        <v>113</v>
      </c>
      <c r="V58" s="20"/>
      <c r="W58" s="20" t="s">
        <v>33</v>
      </c>
      <c r="X58" s="20">
        <f>[1]REFERENCE!$E$37</f>
        <v>0.59279999999999999</v>
      </c>
      <c r="Y58" s="21">
        <f t="shared" si="4"/>
        <v>1.2448799999999999E-2</v>
      </c>
      <c r="AA58" s="29">
        <v>55</v>
      </c>
      <c r="AB58" s="30">
        <v>45017</v>
      </c>
      <c r="AC58" s="31" t="s">
        <v>47</v>
      </c>
      <c r="AD58" s="32">
        <v>11974.512000000001</v>
      </c>
      <c r="AE58" s="20" t="s">
        <v>32</v>
      </c>
      <c r="AF58" s="33" t="s">
        <v>34</v>
      </c>
      <c r="AG58" s="20">
        <v>702</v>
      </c>
      <c r="AI58" s="34">
        <f>[1]REFERENCE!$E$38</f>
        <v>9.9600000000000001E-3</v>
      </c>
      <c r="AJ58" s="21">
        <f t="shared" si="0"/>
        <v>8.3724829943040008E-2</v>
      </c>
      <c r="AL58" s="16">
        <v>55</v>
      </c>
      <c r="AM58" s="30">
        <v>45017</v>
      </c>
      <c r="AN58" s="38" t="s">
        <v>47</v>
      </c>
      <c r="AO58" s="32">
        <v>11974.512000000001</v>
      </c>
      <c r="AP58" s="33" t="s">
        <v>34</v>
      </c>
      <c r="AQ58" s="33" t="s">
        <v>35</v>
      </c>
      <c r="AR58" s="20" t="s">
        <v>114</v>
      </c>
      <c r="AS58" s="35">
        <v>9036</v>
      </c>
      <c r="AT58" s="36">
        <f t="shared" si="5"/>
        <v>16734.672000000002</v>
      </c>
      <c r="AU58" s="35">
        <f>[1]REFERENCE!$E$39</f>
        <v>8.3999999999999995E-3</v>
      </c>
      <c r="AV58" s="37">
        <f t="shared" si="1"/>
        <v>1.683272057712538</v>
      </c>
    </row>
    <row r="59" spans="1:58" ht="16.5" thickBot="1" x14ac:dyDescent="0.4">
      <c r="A59" t="s">
        <v>109</v>
      </c>
      <c r="B59" s="43"/>
      <c r="N59" s="16">
        <v>56</v>
      </c>
      <c r="O59" s="30">
        <v>45017</v>
      </c>
      <c r="P59" s="38" t="s">
        <v>47</v>
      </c>
      <c r="Q59" s="32">
        <v>11974.512000000001</v>
      </c>
      <c r="R59" s="20" t="s">
        <v>32</v>
      </c>
      <c r="S59" s="20" t="s">
        <v>30</v>
      </c>
      <c r="T59" s="20">
        <v>21</v>
      </c>
      <c r="U59" s="27" t="s">
        <v>113</v>
      </c>
      <c r="V59" s="20"/>
      <c r="W59" s="20" t="s">
        <v>33</v>
      </c>
      <c r="X59" s="20">
        <f>[1]REFERENCE!$E$37</f>
        <v>0.59279999999999999</v>
      </c>
      <c r="Y59" s="21">
        <f t="shared" si="4"/>
        <v>1.2448799999999999E-2</v>
      </c>
      <c r="AA59" s="29">
        <v>56</v>
      </c>
      <c r="AB59" s="30">
        <v>45028</v>
      </c>
      <c r="AC59" s="31" t="s">
        <v>39</v>
      </c>
      <c r="AD59" s="32">
        <v>25000</v>
      </c>
      <c r="AE59" s="20" t="s">
        <v>32</v>
      </c>
      <c r="AF59" s="33" t="s">
        <v>34</v>
      </c>
      <c r="AG59" s="20">
        <v>702</v>
      </c>
      <c r="AI59" s="34">
        <f>[1]REFERENCE!$E$38</f>
        <v>9.9600000000000001E-3</v>
      </c>
      <c r="AJ59" s="21">
        <f t="shared" si="0"/>
        <v>0.17479800000000001</v>
      </c>
      <c r="AL59" s="16">
        <v>56</v>
      </c>
      <c r="AM59" s="30">
        <v>45028</v>
      </c>
      <c r="AN59" s="38" t="s">
        <v>39</v>
      </c>
      <c r="AO59" s="32">
        <v>25000</v>
      </c>
      <c r="AP59" s="33" t="s">
        <v>34</v>
      </c>
      <c r="AQ59" s="33" t="s">
        <v>35</v>
      </c>
      <c r="AR59" s="20" t="s">
        <v>114</v>
      </c>
      <c r="AS59" s="35">
        <v>9036</v>
      </c>
      <c r="AT59" s="36">
        <f t="shared" si="5"/>
        <v>16734.672000000002</v>
      </c>
      <c r="AU59" s="35">
        <f>[1]REFERENCE!$E$39</f>
        <v>8.3999999999999995E-3</v>
      </c>
      <c r="AV59" s="37">
        <f t="shared" si="1"/>
        <v>3.5142811200000001</v>
      </c>
    </row>
    <row r="60" spans="1:58" ht="16.5" thickBot="1" x14ac:dyDescent="0.4">
      <c r="A60" t="s">
        <v>110</v>
      </c>
      <c r="B60" s="43"/>
      <c r="N60" s="16">
        <v>57</v>
      </c>
      <c r="O60" s="30">
        <v>45028</v>
      </c>
      <c r="P60" s="38" t="s">
        <v>39</v>
      </c>
      <c r="Q60" s="32">
        <v>25000</v>
      </c>
      <c r="R60" s="20" t="s">
        <v>32</v>
      </c>
      <c r="S60" s="20" t="s">
        <v>30</v>
      </c>
      <c r="T60" s="20">
        <v>21</v>
      </c>
      <c r="U60" s="27" t="s">
        <v>113</v>
      </c>
      <c r="V60" s="20"/>
      <c r="W60" s="20" t="s">
        <v>33</v>
      </c>
      <c r="X60" s="20">
        <f>[1]REFERENCE!$E$37</f>
        <v>0.59279999999999999</v>
      </c>
      <c r="Y60" s="21">
        <f t="shared" si="4"/>
        <v>1.2448799999999999E-2</v>
      </c>
      <c r="AA60" s="29">
        <v>57</v>
      </c>
      <c r="AB60" s="30">
        <v>45028</v>
      </c>
      <c r="AC60" s="31" t="s">
        <v>53</v>
      </c>
      <c r="AD60" s="32">
        <v>24948</v>
      </c>
      <c r="AE60" s="20" t="s">
        <v>32</v>
      </c>
      <c r="AF60" s="33" t="s">
        <v>34</v>
      </c>
      <c r="AG60" s="20">
        <v>702</v>
      </c>
      <c r="AI60" s="34">
        <f>[1]REFERENCE!$E$38</f>
        <v>9.9600000000000001E-3</v>
      </c>
      <c r="AJ60" s="21">
        <f t="shared" si="0"/>
        <v>0.17443442016000002</v>
      </c>
      <c r="AL60" s="16">
        <v>57</v>
      </c>
      <c r="AM60" s="30">
        <v>45028</v>
      </c>
      <c r="AN60" s="38" t="s">
        <v>53</v>
      </c>
      <c r="AO60" s="32">
        <v>24948</v>
      </c>
      <c r="AP60" s="33" t="s">
        <v>34</v>
      </c>
      <c r="AQ60" s="33" t="s">
        <v>35</v>
      </c>
      <c r="AR60" s="20" t="s">
        <v>114</v>
      </c>
      <c r="AS60" s="35">
        <v>9036</v>
      </c>
      <c r="AT60" s="36">
        <f t="shared" si="5"/>
        <v>16734.672000000002</v>
      </c>
      <c r="AU60" s="35">
        <f>[1]REFERENCE!$E$39</f>
        <v>8.3999999999999995E-3</v>
      </c>
      <c r="AV60" s="37">
        <f t="shared" si="1"/>
        <v>3.5069714152704003</v>
      </c>
    </row>
    <row r="61" spans="1:58" ht="16.5" thickBot="1" x14ac:dyDescent="0.4">
      <c r="A61" t="s">
        <v>111</v>
      </c>
      <c r="B61" s="72"/>
      <c r="N61" s="16">
        <v>58</v>
      </c>
      <c r="O61" s="30">
        <v>45028</v>
      </c>
      <c r="P61" s="38" t="s">
        <v>53</v>
      </c>
      <c r="Q61" s="32">
        <v>24948</v>
      </c>
      <c r="R61" s="20" t="s">
        <v>32</v>
      </c>
      <c r="S61" s="20" t="s">
        <v>30</v>
      </c>
      <c r="T61" s="20">
        <v>21</v>
      </c>
      <c r="U61" s="27" t="s">
        <v>113</v>
      </c>
      <c r="V61" s="20"/>
      <c r="W61" s="20" t="s">
        <v>33</v>
      </c>
      <c r="X61" s="20">
        <f>[1]REFERENCE!$E$37</f>
        <v>0.59279999999999999</v>
      </c>
      <c r="Y61" s="21">
        <f t="shared" si="4"/>
        <v>1.2448799999999999E-2</v>
      </c>
      <c r="AA61" s="29">
        <v>58</v>
      </c>
      <c r="AB61" s="30">
        <v>45033</v>
      </c>
      <c r="AC61" s="31" t="s">
        <v>57</v>
      </c>
      <c r="AD61" s="32">
        <v>24948</v>
      </c>
      <c r="AE61" s="20" t="s">
        <v>32</v>
      </c>
      <c r="AF61" s="33" t="s">
        <v>34</v>
      </c>
      <c r="AG61" s="20">
        <v>702</v>
      </c>
      <c r="AI61" s="34">
        <f>[1]REFERENCE!$E$38</f>
        <v>9.9600000000000001E-3</v>
      </c>
      <c r="AJ61" s="21">
        <f t="shared" si="0"/>
        <v>0.17443442016000002</v>
      </c>
      <c r="AL61" s="16">
        <v>58</v>
      </c>
      <c r="AM61" s="30">
        <v>45033</v>
      </c>
      <c r="AN61" s="31" t="s">
        <v>57</v>
      </c>
      <c r="AO61" s="32">
        <v>24948</v>
      </c>
      <c r="AP61" s="33" t="s">
        <v>34</v>
      </c>
      <c r="AQ61" s="33" t="s">
        <v>35</v>
      </c>
      <c r="AR61" s="20" t="s">
        <v>114</v>
      </c>
      <c r="AS61" s="35">
        <v>9036</v>
      </c>
      <c r="AT61" s="36">
        <f t="shared" si="5"/>
        <v>16734.672000000002</v>
      </c>
      <c r="AU61" s="35">
        <f>[1]REFERENCE!$E$39</f>
        <v>8.3999999999999995E-3</v>
      </c>
      <c r="AV61" s="37">
        <f t="shared" si="1"/>
        <v>3.5069714152704003</v>
      </c>
    </row>
    <row r="62" spans="1:58" ht="16.5" thickBot="1" x14ac:dyDescent="0.4">
      <c r="N62" s="16">
        <v>59</v>
      </c>
      <c r="O62" s="30">
        <v>45033</v>
      </c>
      <c r="P62" s="31" t="s">
        <v>57</v>
      </c>
      <c r="Q62" s="32">
        <v>24948</v>
      </c>
      <c r="R62" s="20" t="s">
        <v>32</v>
      </c>
      <c r="S62" s="20" t="s">
        <v>30</v>
      </c>
      <c r="T62" s="20">
        <v>21</v>
      </c>
      <c r="U62" s="27" t="s">
        <v>113</v>
      </c>
      <c r="V62" s="20"/>
      <c r="W62" s="20" t="s">
        <v>33</v>
      </c>
      <c r="X62" s="20">
        <f>[1]REFERENCE!$E$37</f>
        <v>0.59279999999999999</v>
      </c>
      <c r="Y62" s="21">
        <f t="shared" si="4"/>
        <v>1.2448799999999999E-2</v>
      </c>
      <c r="AA62" s="29">
        <v>59</v>
      </c>
      <c r="AB62" s="30">
        <v>45042</v>
      </c>
      <c r="AC62" s="31" t="s">
        <v>49</v>
      </c>
      <c r="AD62" s="32">
        <v>25000</v>
      </c>
      <c r="AE62" s="20" t="s">
        <v>32</v>
      </c>
      <c r="AF62" s="33" t="s">
        <v>34</v>
      </c>
      <c r="AG62" s="20">
        <v>702</v>
      </c>
      <c r="AI62" s="34">
        <f>[1]REFERENCE!$E$38</f>
        <v>9.9600000000000001E-3</v>
      </c>
      <c r="AJ62" s="21">
        <f t="shared" si="0"/>
        <v>0.17479800000000001</v>
      </c>
      <c r="AL62" s="16">
        <v>59</v>
      </c>
      <c r="AM62" s="30">
        <v>45042</v>
      </c>
      <c r="AN62" s="31" t="s">
        <v>49</v>
      </c>
      <c r="AO62" s="32">
        <v>25000</v>
      </c>
      <c r="AP62" s="33" t="s">
        <v>34</v>
      </c>
      <c r="AQ62" s="33" t="s">
        <v>35</v>
      </c>
      <c r="AR62" s="20" t="s">
        <v>114</v>
      </c>
      <c r="AS62" s="35">
        <v>9036</v>
      </c>
      <c r="AT62" s="36">
        <f t="shared" si="5"/>
        <v>16734.672000000002</v>
      </c>
      <c r="AU62" s="35">
        <f>[1]REFERENCE!$E$39</f>
        <v>8.3999999999999995E-3</v>
      </c>
      <c r="AV62" s="37">
        <f t="shared" si="1"/>
        <v>3.5142811200000001</v>
      </c>
    </row>
    <row r="63" spans="1:58" ht="16.5" thickBot="1" x14ac:dyDescent="0.4">
      <c r="N63" s="16">
        <v>60</v>
      </c>
      <c r="O63" s="30">
        <v>45042</v>
      </c>
      <c r="P63" s="31" t="s">
        <v>49</v>
      </c>
      <c r="Q63" s="32">
        <v>25000</v>
      </c>
      <c r="R63" s="20" t="s">
        <v>32</v>
      </c>
      <c r="S63" s="20" t="s">
        <v>30</v>
      </c>
      <c r="T63" s="20">
        <v>21</v>
      </c>
      <c r="U63" s="27" t="s">
        <v>113</v>
      </c>
      <c r="V63" s="20"/>
      <c r="W63" s="20" t="s">
        <v>33</v>
      </c>
      <c r="X63" s="20">
        <f>[1]REFERENCE!$E$37</f>
        <v>0.59279999999999999</v>
      </c>
      <c r="Y63" s="21">
        <f t="shared" si="4"/>
        <v>1.2448799999999999E-2</v>
      </c>
      <c r="AA63" s="29">
        <v>60</v>
      </c>
      <c r="AB63" s="30">
        <v>45046</v>
      </c>
      <c r="AC63" s="31" t="s">
        <v>45</v>
      </c>
      <c r="AD63" s="32">
        <v>24948</v>
      </c>
      <c r="AE63" s="20" t="s">
        <v>32</v>
      </c>
      <c r="AF63" s="33" t="s">
        <v>34</v>
      </c>
      <c r="AG63" s="20">
        <v>702</v>
      </c>
      <c r="AI63" s="34">
        <f>[1]REFERENCE!$E$38</f>
        <v>9.9600000000000001E-3</v>
      </c>
      <c r="AJ63" s="21">
        <f t="shared" si="0"/>
        <v>0.17443442016000002</v>
      </c>
      <c r="AL63" s="16">
        <v>60</v>
      </c>
      <c r="AM63" s="30">
        <v>45046</v>
      </c>
      <c r="AN63" s="38" t="s">
        <v>45</v>
      </c>
      <c r="AO63" s="32">
        <v>24948</v>
      </c>
      <c r="AP63" s="33" t="s">
        <v>34</v>
      </c>
      <c r="AQ63" s="33" t="s">
        <v>35</v>
      </c>
      <c r="AR63" s="20" t="s">
        <v>114</v>
      </c>
      <c r="AS63" s="35">
        <v>9036</v>
      </c>
      <c r="AT63" s="36">
        <f t="shared" si="5"/>
        <v>16734.672000000002</v>
      </c>
      <c r="AU63" s="35">
        <f>[1]REFERENCE!$E$39</f>
        <v>8.3999999999999995E-3</v>
      </c>
      <c r="AV63" s="37">
        <f t="shared" si="1"/>
        <v>3.5069714152704003</v>
      </c>
    </row>
    <row r="64" spans="1:58" ht="16.5" thickBot="1" x14ac:dyDescent="0.4">
      <c r="N64" s="16">
        <v>61</v>
      </c>
      <c r="O64" s="30">
        <v>45046</v>
      </c>
      <c r="P64" s="38" t="s">
        <v>45</v>
      </c>
      <c r="Q64" s="32">
        <v>24948</v>
      </c>
      <c r="R64" s="20" t="s">
        <v>32</v>
      </c>
      <c r="S64" s="20" t="s">
        <v>30</v>
      </c>
      <c r="T64" s="20">
        <v>21</v>
      </c>
      <c r="U64" s="27" t="s">
        <v>113</v>
      </c>
      <c r="V64" s="20"/>
      <c r="W64" s="20" t="s">
        <v>33</v>
      </c>
      <c r="X64" s="20">
        <f>[1]REFERENCE!$E$37</f>
        <v>0.59279999999999999</v>
      </c>
      <c r="Y64" s="21">
        <f t="shared" si="4"/>
        <v>1.2448799999999999E-2</v>
      </c>
      <c r="AA64" s="29">
        <v>61</v>
      </c>
      <c r="AB64" s="30">
        <v>45049</v>
      </c>
      <c r="AC64" s="31" t="s">
        <v>61</v>
      </c>
      <c r="AD64" s="32">
        <v>24948</v>
      </c>
      <c r="AE64" s="20" t="s">
        <v>32</v>
      </c>
      <c r="AF64" s="33" t="s">
        <v>34</v>
      </c>
      <c r="AG64" s="20">
        <v>702</v>
      </c>
      <c r="AI64" s="34">
        <f>[1]REFERENCE!$E$38</f>
        <v>9.9600000000000001E-3</v>
      </c>
      <c r="AJ64" s="21">
        <f t="shared" si="0"/>
        <v>0.17443442016000002</v>
      </c>
      <c r="AL64" s="16">
        <v>61</v>
      </c>
      <c r="AM64" s="30">
        <v>45049</v>
      </c>
      <c r="AN64" s="38" t="s">
        <v>61</v>
      </c>
      <c r="AO64" s="32">
        <v>24948</v>
      </c>
      <c r="AP64" s="33" t="s">
        <v>34</v>
      </c>
      <c r="AQ64" s="33" t="s">
        <v>35</v>
      </c>
      <c r="AR64" s="20" t="s">
        <v>114</v>
      </c>
      <c r="AS64" s="35">
        <v>9036</v>
      </c>
      <c r="AT64" s="36">
        <f t="shared" si="5"/>
        <v>16734.672000000002</v>
      </c>
      <c r="AU64" s="35">
        <f>[1]REFERENCE!$E$39</f>
        <v>8.3999999999999995E-3</v>
      </c>
      <c r="AV64" s="37">
        <f t="shared" si="1"/>
        <v>3.5069714152704003</v>
      </c>
    </row>
    <row r="65" spans="14:48" ht="16.5" thickBot="1" x14ac:dyDescent="0.4">
      <c r="N65" s="16">
        <v>62</v>
      </c>
      <c r="O65" s="30">
        <v>45049</v>
      </c>
      <c r="P65" s="38" t="s">
        <v>61</v>
      </c>
      <c r="Q65" s="32">
        <v>24948</v>
      </c>
      <c r="R65" s="20" t="s">
        <v>32</v>
      </c>
      <c r="S65" s="20" t="s">
        <v>30</v>
      </c>
      <c r="T65" s="20">
        <v>21</v>
      </c>
      <c r="U65" s="27" t="s">
        <v>113</v>
      </c>
      <c r="V65" s="20"/>
      <c r="W65" s="20" t="s">
        <v>33</v>
      </c>
      <c r="X65" s="20">
        <f>[1]REFERENCE!$E$37</f>
        <v>0.59279999999999999</v>
      </c>
      <c r="Y65" s="21">
        <f t="shared" si="4"/>
        <v>1.2448799999999999E-2</v>
      </c>
      <c r="AA65" s="29">
        <v>62</v>
      </c>
      <c r="AB65" s="30">
        <v>45059</v>
      </c>
      <c r="AC65" s="31" t="s">
        <v>64</v>
      </c>
      <c r="AD65" s="32">
        <v>3750</v>
      </c>
      <c r="AE65" s="20" t="s">
        <v>32</v>
      </c>
      <c r="AF65" s="33" t="s">
        <v>34</v>
      </c>
      <c r="AG65" s="20">
        <v>702</v>
      </c>
      <c r="AI65" s="34">
        <f>[1]REFERENCE!$E$38</f>
        <v>9.9600000000000001E-3</v>
      </c>
      <c r="AJ65" s="21">
        <f t="shared" si="0"/>
        <v>2.6219700000000002E-2</v>
      </c>
      <c r="AL65" s="16">
        <v>62</v>
      </c>
      <c r="AM65" s="30">
        <v>45059</v>
      </c>
      <c r="AN65" s="38" t="s">
        <v>64</v>
      </c>
      <c r="AO65" s="32">
        <v>3750</v>
      </c>
      <c r="AP65" s="33" t="s">
        <v>34</v>
      </c>
      <c r="AQ65" s="33" t="s">
        <v>43</v>
      </c>
      <c r="AR65" s="20" t="s">
        <v>115</v>
      </c>
      <c r="AS65" s="35">
        <v>7082</v>
      </c>
      <c r="AT65" s="36">
        <f t="shared" si="5"/>
        <v>13115.864000000001</v>
      </c>
      <c r="AU65" s="35">
        <f>[1]REFERENCE!$E$39</f>
        <v>8.3999999999999995E-3</v>
      </c>
      <c r="AV65" s="37">
        <f t="shared" si="1"/>
        <v>0.413149716</v>
      </c>
    </row>
    <row r="66" spans="14:48" ht="16.5" thickBot="1" x14ac:dyDescent="0.4">
      <c r="N66" s="73">
        <v>63</v>
      </c>
      <c r="O66" s="74">
        <v>45059</v>
      </c>
      <c r="P66" s="75" t="s">
        <v>64</v>
      </c>
      <c r="Q66" s="76">
        <v>3750</v>
      </c>
      <c r="R66" s="20" t="s">
        <v>32</v>
      </c>
      <c r="S66" s="20" t="s">
        <v>30</v>
      </c>
      <c r="T66" s="77">
        <v>21</v>
      </c>
      <c r="U66" s="27" t="s">
        <v>113</v>
      </c>
      <c r="V66" s="77"/>
      <c r="W66" s="77" t="s">
        <v>33</v>
      </c>
      <c r="X66" s="77">
        <f>[1]REFERENCE!$E$37</f>
        <v>0.59279999999999999</v>
      </c>
      <c r="Y66" s="78">
        <f t="shared" si="4"/>
        <v>1.2448799999999999E-2</v>
      </c>
      <c r="AA66" s="29">
        <v>63</v>
      </c>
      <c r="AB66" s="30"/>
      <c r="AC66" s="79"/>
      <c r="AD66" s="20"/>
      <c r="AE66" s="20"/>
      <c r="AF66" s="33"/>
      <c r="AG66" s="20"/>
      <c r="AI66" s="34">
        <f>[1]REFERENCE!$E$38</f>
        <v>9.9600000000000001E-3</v>
      </c>
      <c r="AJ66" s="21">
        <f t="shared" si="0"/>
        <v>0</v>
      </c>
      <c r="AL66" s="16">
        <v>63</v>
      </c>
      <c r="AM66" s="30"/>
      <c r="AN66" s="31"/>
      <c r="AO66" s="32"/>
      <c r="AP66" s="33"/>
      <c r="AQ66" s="33"/>
      <c r="AR66" s="20"/>
      <c r="AS66" s="35"/>
      <c r="AT66" s="36">
        <f t="shared" si="5"/>
        <v>0</v>
      </c>
      <c r="AU66" s="35">
        <f>[1]REFERENCE!$E$39</f>
        <v>8.3999999999999995E-3</v>
      </c>
      <c r="AV66" s="37">
        <f t="shared" si="1"/>
        <v>0</v>
      </c>
    </row>
    <row r="67" spans="14:48" ht="16.5" thickBot="1" x14ac:dyDescent="0.45">
      <c r="N67" s="166" t="s">
        <v>65</v>
      </c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80">
        <f>SUM(Y4:Y66)</f>
        <v>0.78427440000000059</v>
      </c>
      <c r="AA67" s="29">
        <v>64</v>
      </c>
      <c r="AB67" s="30"/>
      <c r="AC67" s="79"/>
      <c r="AD67" s="20"/>
      <c r="AE67" s="20"/>
      <c r="AF67" s="33"/>
      <c r="AG67" s="20"/>
      <c r="AI67" s="34">
        <f>[1]REFERENCE!$E$38</f>
        <v>9.9600000000000001E-3</v>
      </c>
      <c r="AJ67" s="21">
        <f t="shared" si="0"/>
        <v>0</v>
      </c>
      <c r="AL67" s="16">
        <v>64</v>
      </c>
      <c r="AM67" s="30"/>
      <c r="AN67" s="31"/>
      <c r="AO67" s="32"/>
      <c r="AP67" s="33"/>
      <c r="AQ67" s="33"/>
      <c r="AR67" s="20"/>
      <c r="AS67" s="35"/>
      <c r="AT67" s="36">
        <f t="shared" si="5"/>
        <v>0</v>
      </c>
      <c r="AU67" s="35">
        <f>[1]REFERENCE!$E$39</f>
        <v>8.3999999999999995E-3</v>
      </c>
      <c r="AV67" s="37">
        <f t="shared" si="1"/>
        <v>0</v>
      </c>
    </row>
    <row r="68" spans="14:48" ht="16" x14ac:dyDescent="0.35">
      <c r="Y68" s="81"/>
      <c r="AA68" s="29">
        <v>65</v>
      </c>
      <c r="AB68" s="30"/>
      <c r="AC68" s="79"/>
      <c r="AD68" s="20"/>
      <c r="AE68" s="20"/>
      <c r="AF68" s="33"/>
      <c r="AG68" s="20"/>
      <c r="AI68" s="34">
        <f>[1]REFERENCE!$E$38</f>
        <v>9.9600000000000001E-3</v>
      </c>
      <c r="AJ68" s="21">
        <f t="shared" ref="AJ68:AJ105" si="8">AD68*AG68*AI68/10^6</f>
        <v>0</v>
      </c>
      <c r="AL68" s="16">
        <v>65</v>
      </c>
      <c r="AM68" s="30"/>
      <c r="AN68" s="46"/>
      <c r="AO68" s="32"/>
      <c r="AP68" s="82"/>
      <c r="AQ68" s="44"/>
      <c r="AR68" s="48"/>
      <c r="AS68" s="49"/>
      <c r="AT68" s="36">
        <f t="shared" si="5"/>
        <v>0</v>
      </c>
      <c r="AU68" s="35">
        <f>[1]REFERENCE!$E$39</f>
        <v>8.3999999999999995E-3</v>
      </c>
      <c r="AV68" s="37">
        <f t="shared" ref="AV68:AV80" si="9">AO68*AT68*AU68/10^6</f>
        <v>0</v>
      </c>
    </row>
    <row r="69" spans="14:48" ht="16" x14ac:dyDescent="0.35">
      <c r="Y69" s="81"/>
      <c r="AA69" s="29">
        <v>66</v>
      </c>
      <c r="AB69" s="30"/>
      <c r="AC69" s="79"/>
      <c r="AD69" s="20"/>
      <c r="AE69" s="20"/>
      <c r="AF69" s="33"/>
      <c r="AG69" s="20"/>
      <c r="AI69" s="34">
        <f>[1]REFERENCE!$E$38</f>
        <v>9.9600000000000001E-3</v>
      </c>
      <c r="AJ69" s="21">
        <f t="shared" si="8"/>
        <v>0</v>
      </c>
      <c r="AL69" s="16">
        <v>66</v>
      </c>
      <c r="AM69" s="30"/>
      <c r="AN69" s="38"/>
      <c r="AO69" s="32"/>
      <c r="AP69" s="33"/>
      <c r="AQ69" s="33"/>
      <c r="AR69" s="20"/>
      <c r="AS69" s="35"/>
      <c r="AT69" s="36">
        <f t="shared" ref="AT69:AT80" si="10">AS69*1.852</f>
        <v>0</v>
      </c>
      <c r="AU69" s="35">
        <f>[1]REFERENCE!$E$39</f>
        <v>8.3999999999999995E-3</v>
      </c>
      <c r="AV69" s="37">
        <f t="shared" si="9"/>
        <v>0</v>
      </c>
    </row>
    <row r="70" spans="14:48" ht="16" x14ac:dyDescent="0.35">
      <c r="Y70" s="81"/>
      <c r="AA70" s="29">
        <v>67</v>
      </c>
      <c r="AB70" s="30"/>
      <c r="AC70" s="79"/>
      <c r="AD70" s="20"/>
      <c r="AE70" s="20"/>
      <c r="AF70" s="33"/>
      <c r="AG70" s="20"/>
      <c r="AI70" s="34">
        <f>[1]REFERENCE!$E$38</f>
        <v>9.9600000000000001E-3</v>
      </c>
      <c r="AJ70" s="21">
        <f t="shared" si="8"/>
        <v>0</v>
      </c>
      <c r="AL70" s="16">
        <v>67</v>
      </c>
      <c r="AM70" s="30"/>
      <c r="AN70" s="38"/>
      <c r="AO70" s="32"/>
      <c r="AP70" s="33"/>
      <c r="AQ70" s="33"/>
      <c r="AR70" s="20"/>
      <c r="AS70" s="35"/>
      <c r="AT70" s="36">
        <f t="shared" si="10"/>
        <v>0</v>
      </c>
      <c r="AU70" s="35">
        <f>[1]REFERENCE!$E$39</f>
        <v>8.3999999999999995E-3</v>
      </c>
      <c r="AV70" s="37">
        <f t="shared" si="9"/>
        <v>0</v>
      </c>
    </row>
    <row r="71" spans="14:48" ht="16" x14ac:dyDescent="0.35">
      <c r="Y71" s="81"/>
      <c r="AA71" s="29">
        <v>68</v>
      </c>
      <c r="AB71" s="30"/>
      <c r="AC71" s="79"/>
      <c r="AD71" s="20"/>
      <c r="AE71" s="20"/>
      <c r="AF71" s="33"/>
      <c r="AG71" s="20"/>
      <c r="AI71" s="34">
        <f>[1]REFERENCE!$E$38</f>
        <v>9.9600000000000001E-3</v>
      </c>
      <c r="AJ71" s="21">
        <f t="shared" si="8"/>
        <v>0</v>
      </c>
      <c r="AL71" s="16">
        <v>68</v>
      </c>
      <c r="AM71" s="30"/>
      <c r="AN71" s="38"/>
      <c r="AO71" s="32"/>
      <c r="AP71" s="33"/>
      <c r="AQ71" s="33"/>
      <c r="AR71" s="20"/>
      <c r="AS71" s="35"/>
      <c r="AT71" s="36">
        <f t="shared" si="10"/>
        <v>0</v>
      </c>
      <c r="AU71" s="35">
        <f>[1]REFERENCE!$E$39</f>
        <v>8.3999999999999995E-3</v>
      </c>
      <c r="AV71" s="37">
        <f t="shared" si="9"/>
        <v>0</v>
      </c>
    </row>
    <row r="72" spans="14:48" ht="16" x14ac:dyDescent="0.35">
      <c r="Y72" s="81"/>
      <c r="AA72" s="29">
        <v>69</v>
      </c>
      <c r="AB72" s="30"/>
      <c r="AC72" s="79"/>
      <c r="AD72" s="20"/>
      <c r="AE72" s="20"/>
      <c r="AF72" s="33"/>
      <c r="AG72" s="20"/>
      <c r="AI72" s="34">
        <f>[1]REFERENCE!$E$38</f>
        <v>9.9600000000000001E-3</v>
      </c>
      <c r="AJ72" s="21">
        <f t="shared" si="8"/>
        <v>0</v>
      </c>
      <c r="AL72" s="16">
        <v>69</v>
      </c>
      <c r="AM72" s="30"/>
      <c r="AN72" s="31"/>
      <c r="AO72" s="32"/>
      <c r="AP72" s="33"/>
      <c r="AQ72" s="33"/>
      <c r="AR72" s="20"/>
      <c r="AS72" s="35"/>
      <c r="AT72" s="36">
        <f t="shared" si="10"/>
        <v>0</v>
      </c>
      <c r="AU72" s="35">
        <f>[1]REFERENCE!$E$39</f>
        <v>8.3999999999999995E-3</v>
      </c>
      <c r="AV72" s="37">
        <f t="shared" si="9"/>
        <v>0</v>
      </c>
    </row>
    <row r="73" spans="14:48" ht="16" x14ac:dyDescent="0.35">
      <c r="Y73" s="81"/>
      <c r="AA73" s="29">
        <v>70</v>
      </c>
      <c r="AB73" s="30"/>
      <c r="AC73" s="79"/>
      <c r="AD73" s="20"/>
      <c r="AE73" s="20"/>
      <c r="AF73" s="33"/>
      <c r="AG73" s="20"/>
      <c r="AI73" s="34">
        <f>[1]REFERENCE!$E$38</f>
        <v>9.9600000000000001E-3</v>
      </c>
      <c r="AJ73" s="21">
        <f t="shared" si="8"/>
        <v>0</v>
      </c>
      <c r="AL73" s="16">
        <v>70</v>
      </c>
      <c r="AM73" s="30"/>
      <c r="AN73" s="38"/>
      <c r="AO73" s="32"/>
      <c r="AP73" s="33"/>
      <c r="AQ73" s="33"/>
      <c r="AR73" s="20"/>
      <c r="AS73" s="35"/>
      <c r="AT73" s="36">
        <f t="shared" si="10"/>
        <v>0</v>
      </c>
      <c r="AU73" s="35">
        <f>[1]REFERENCE!$E$39</f>
        <v>8.3999999999999995E-3</v>
      </c>
      <c r="AV73" s="37">
        <f t="shared" si="9"/>
        <v>0</v>
      </c>
    </row>
    <row r="74" spans="14:48" ht="16" x14ac:dyDescent="0.35">
      <c r="Y74" s="81"/>
      <c r="AB74" s="168" t="s">
        <v>65</v>
      </c>
      <c r="AC74" s="168"/>
      <c r="AD74" s="168"/>
      <c r="AE74" s="168"/>
      <c r="AF74" s="168"/>
      <c r="AG74" s="168"/>
      <c r="AH74" s="168"/>
      <c r="AI74" s="168"/>
      <c r="AJ74" s="81">
        <f>SUM(AJ4:AJ73)</f>
        <v>9.2389762800541479</v>
      </c>
      <c r="AL74" s="16">
        <v>71</v>
      </c>
      <c r="AM74" s="30"/>
      <c r="AN74" s="31"/>
      <c r="AO74" s="32"/>
      <c r="AP74" s="33"/>
      <c r="AQ74" s="33"/>
      <c r="AR74" s="20"/>
      <c r="AS74" s="35"/>
      <c r="AT74" s="36">
        <f t="shared" si="10"/>
        <v>0</v>
      </c>
      <c r="AU74" s="35">
        <f>[1]REFERENCE!$E$39</f>
        <v>8.3999999999999995E-3</v>
      </c>
      <c r="AV74" s="37">
        <f t="shared" si="9"/>
        <v>0</v>
      </c>
    </row>
    <row r="75" spans="14:48" ht="16" x14ac:dyDescent="0.35">
      <c r="Y75" s="81"/>
      <c r="AF75" s="20" t="s">
        <v>33</v>
      </c>
      <c r="AL75" s="16">
        <v>72</v>
      </c>
      <c r="AM75" s="30"/>
      <c r="AN75" s="46"/>
      <c r="AO75" s="32"/>
      <c r="AP75" s="82"/>
      <c r="AQ75" s="44"/>
      <c r="AR75" s="48"/>
      <c r="AS75" s="49"/>
      <c r="AT75" s="36">
        <f t="shared" si="10"/>
        <v>0</v>
      </c>
      <c r="AU75" s="35">
        <f>[1]REFERENCE!$E$39</f>
        <v>8.3999999999999995E-3</v>
      </c>
      <c r="AV75" s="37">
        <f t="shared" si="9"/>
        <v>0</v>
      </c>
    </row>
    <row r="76" spans="14:48" ht="16" x14ac:dyDescent="0.35">
      <c r="Y76" s="81"/>
      <c r="AL76" s="16">
        <v>73</v>
      </c>
      <c r="AM76" s="30"/>
      <c r="AN76" s="46"/>
      <c r="AO76" s="32"/>
      <c r="AP76" s="33"/>
      <c r="AQ76" s="33"/>
      <c r="AR76" s="20"/>
      <c r="AS76" s="35"/>
      <c r="AT76" s="36">
        <f t="shared" si="10"/>
        <v>0</v>
      </c>
      <c r="AU76" s="35">
        <f>[1]REFERENCE!$E$39</f>
        <v>8.3999999999999995E-3</v>
      </c>
      <c r="AV76" s="37">
        <f t="shared" si="9"/>
        <v>0</v>
      </c>
    </row>
    <row r="77" spans="14:48" ht="16" x14ac:dyDescent="0.35">
      <c r="Y77" s="81"/>
      <c r="AL77" s="16">
        <v>74</v>
      </c>
      <c r="AM77" s="30"/>
      <c r="AN77" s="31"/>
      <c r="AO77" s="32"/>
      <c r="AP77" s="33"/>
      <c r="AQ77" s="33"/>
      <c r="AR77" s="20"/>
      <c r="AS77" s="35"/>
      <c r="AT77" s="36">
        <f t="shared" si="10"/>
        <v>0</v>
      </c>
      <c r="AU77" s="35">
        <f>[1]REFERENCE!$E$39</f>
        <v>8.3999999999999995E-3</v>
      </c>
      <c r="AV77" s="37">
        <f t="shared" si="9"/>
        <v>0</v>
      </c>
    </row>
    <row r="78" spans="14:48" ht="16" x14ac:dyDescent="0.35">
      <c r="Y78" s="81"/>
      <c r="AL78" s="16">
        <v>75</v>
      </c>
      <c r="AM78" s="30"/>
      <c r="AN78" s="38"/>
      <c r="AO78" s="32"/>
      <c r="AP78" s="33"/>
      <c r="AQ78" s="33"/>
      <c r="AR78" s="20"/>
      <c r="AS78" s="35"/>
      <c r="AT78" s="36">
        <f t="shared" si="10"/>
        <v>0</v>
      </c>
      <c r="AU78" s="35">
        <f>[1]REFERENCE!$E$39</f>
        <v>8.3999999999999995E-3</v>
      </c>
      <c r="AV78" s="37">
        <f t="shared" si="9"/>
        <v>0</v>
      </c>
    </row>
    <row r="79" spans="14:48" ht="16" x14ac:dyDescent="0.35">
      <c r="Y79" s="81"/>
      <c r="AL79" s="16">
        <v>76</v>
      </c>
      <c r="AM79" s="30"/>
      <c r="AN79" s="38"/>
      <c r="AO79" s="32"/>
      <c r="AP79" s="33"/>
      <c r="AQ79" s="33"/>
      <c r="AR79" s="20"/>
      <c r="AS79" s="35"/>
      <c r="AT79" s="36">
        <f t="shared" si="10"/>
        <v>0</v>
      </c>
      <c r="AU79" s="35">
        <f>[1]REFERENCE!$E$39</f>
        <v>8.3999999999999995E-3</v>
      </c>
      <c r="AV79" s="37">
        <f>AO79*AT79*AU79/10^6</f>
        <v>0</v>
      </c>
    </row>
    <row r="80" spans="14:48" ht="16.5" thickBot="1" x14ac:dyDescent="0.4">
      <c r="Y80" s="81"/>
      <c r="AL80" s="73">
        <v>77</v>
      </c>
      <c r="AM80" s="74"/>
      <c r="AN80" s="83"/>
      <c r="AO80" s="76"/>
      <c r="AP80" s="84"/>
      <c r="AQ80" s="84"/>
      <c r="AR80" s="77"/>
      <c r="AS80" s="85"/>
      <c r="AT80" s="36">
        <f t="shared" si="10"/>
        <v>0</v>
      </c>
      <c r="AU80" s="35">
        <f>[1]REFERENCE!$E$39</f>
        <v>8.3999999999999995E-3</v>
      </c>
      <c r="AV80" s="37">
        <f t="shared" si="9"/>
        <v>0</v>
      </c>
    </row>
    <row r="81" spans="38:48" ht="15" thickBot="1" x14ac:dyDescent="0.4">
      <c r="AL81" s="169" t="s">
        <v>60</v>
      </c>
      <c r="AM81" s="170"/>
      <c r="AN81" s="170"/>
      <c r="AO81" s="170"/>
      <c r="AP81" s="170"/>
      <c r="AQ81" s="170"/>
      <c r="AR81" s="170"/>
      <c r="AS81" s="171"/>
      <c r="AT81" s="86">
        <f>SUM(AT4:AT76)</f>
        <v>816406.04800000042</v>
      </c>
      <c r="AU81" s="62"/>
      <c r="AV81" s="62">
        <f>SUM(AV4:AV80)</f>
        <v>147.18985149152721</v>
      </c>
    </row>
  </sheetData>
  <mergeCells count="10">
    <mergeCell ref="AX49:BE49"/>
    <mergeCell ref="N67:X67"/>
    <mergeCell ref="AB74:AI74"/>
    <mergeCell ref="AL81:AS81"/>
    <mergeCell ref="A1:BF1"/>
    <mergeCell ref="A2:L2"/>
    <mergeCell ref="N2:Y2"/>
    <mergeCell ref="AA2:AJ2"/>
    <mergeCell ref="AL2:AV2"/>
    <mergeCell ref="AX2:B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1CB1-6F81-4839-A5A8-DF705D5C3F72}">
  <dimension ref="A1:DH84"/>
  <sheetViews>
    <sheetView topLeftCell="AJ1" workbookViewId="0">
      <selection activeCell="AR80" sqref="AR80"/>
    </sheetView>
  </sheetViews>
  <sheetFormatPr defaultRowHeight="14.5" x14ac:dyDescent="0.35"/>
  <cols>
    <col min="1" max="1" width="4" style="67" customWidth="1"/>
    <col min="2" max="2" width="8.1796875" customWidth="1"/>
    <col min="3" max="3" width="17.81640625" customWidth="1"/>
    <col min="4" max="4" width="12.81640625" customWidth="1"/>
    <col min="5" max="5" width="15.7265625" bestFit="1" customWidth="1"/>
    <col min="6" max="6" width="13.1796875" bestFit="1" customWidth="1"/>
    <col min="7" max="7" width="10.453125" customWidth="1"/>
    <col min="8" max="8" width="11.54296875" customWidth="1"/>
    <col min="9" max="9" width="9.26953125" customWidth="1"/>
    <col min="10" max="10" width="10.453125" customWidth="1"/>
    <col min="11" max="11" width="10" customWidth="1"/>
    <col min="12" max="12" width="10.54296875" bestFit="1" customWidth="1"/>
    <col min="13" max="13" width="3.81640625" customWidth="1"/>
    <col min="14" max="14" width="6.7265625" customWidth="1"/>
    <col min="15" max="15" width="8.1796875" customWidth="1"/>
    <col min="16" max="16" width="13.26953125" customWidth="1"/>
    <col min="17" max="17" width="14.36328125" customWidth="1"/>
    <col min="18" max="18" width="8.90625" customWidth="1"/>
    <col min="19" max="19" width="12.26953125" customWidth="1"/>
    <col min="20" max="20" width="13.54296875" customWidth="1"/>
    <col min="21" max="21" width="12.7265625" customWidth="1"/>
    <col min="22" max="22" width="13.6328125" customWidth="1"/>
    <col min="23" max="23" width="13" customWidth="1"/>
    <col min="24" max="24" width="17.6328125" customWidth="1"/>
    <col min="25" max="25" width="10.26953125" customWidth="1"/>
    <col min="26" max="26" width="3.81640625" customWidth="1"/>
    <col min="27" max="27" width="5.54296875" customWidth="1"/>
    <col min="28" max="28" width="8.26953125" customWidth="1"/>
    <col min="29" max="29" width="12.7265625" customWidth="1"/>
    <col min="30" max="30" width="14.81640625" customWidth="1"/>
    <col min="31" max="31" width="8.1796875" customWidth="1"/>
    <col min="32" max="32" width="13.1796875" customWidth="1"/>
    <col min="33" max="33" width="10.54296875" customWidth="1"/>
    <col min="34" max="34" width="26.1796875" customWidth="1"/>
    <col min="35" max="36" width="9.7265625" customWidth="1"/>
    <col min="37" max="37" width="4.54296875" customWidth="1"/>
    <col min="38" max="38" width="5.54296875" customWidth="1"/>
    <col min="39" max="39" width="19.1796875" bestFit="1" customWidth="1"/>
    <col min="40" max="40" width="27.7265625" customWidth="1"/>
    <col min="41" max="41" width="9.54296875" customWidth="1"/>
    <col min="42" max="42" width="12.81640625" bestFit="1" customWidth="1"/>
    <col min="43" max="43" width="23.7265625" bestFit="1" customWidth="1"/>
    <col min="44" max="44" width="10.7265625" customWidth="1"/>
    <col min="45" max="45" width="9.7265625" bestFit="1" customWidth="1"/>
    <col min="46" max="47" width="10" customWidth="1"/>
    <col min="48" max="48" width="11.54296875" customWidth="1"/>
    <col min="49" max="49" width="4.453125" customWidth="1"/>
    <col min="51" max="51" width="13.1796875" customWidth="1"/>
    <col min="52" max="52" width="31.81640625" bestFit="1" customWidth="1"/>
    <col min="53" max="53" width="14.453125" customWidth="1"/>
    <col min="54" max="54" width="11" bestFit="1" customWidth="1"/>
    <col min="55" max="55" width="13.81640625" bestFit="1" customWidth="1"/>
    <col min="56" max="56" width="10.26953125" customWidth="1"/>
    <col min="57" max="57" width="11.54296875" customWidth="1"/>
    <col min="58" max="58" width="10.1796875" customWidth="1"/>
  </cols>
  <sheetData>
    <row r="1" spans="1:112" s="1" customFormat="1" ht="27.75" customHeight="1" thickBot="1" x14ac:dyDescent="0.4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</row>
    <row r="2" spans="1:112" ht="15" thickBot="1" x14ac:dyDescent="0.4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N2" s="178" t="s">
        <v>1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80"/>
      <c r="AA2" s="173" t="s">
        <v>2</v>
      </c>
      <c r="AB2" s="173"/>
      <c r="AC2" s="173"/>
      <c r="AD2" s="173"/>
      <c r="AE2" s="173"/>
      <c r="AF2" s="173"/>
      <c r="AG2" s="173"/>
      <c r="AH2" s="173"/>
      <c r="AI2" s="173"/>
      <c r="AJ2" s="173"/>
      <c r="AL2" s="173" t="s">
        <v>3</v>
      </c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X2" s="174" t="s">
        <v>4</v>
      </c>
      <c r="AY2" s="174"/>
      <c r="AZ2" s="174"/>
      <c r="BA2" s="174"/>
      <c r="BB2" s="174"/>
      <c r="BC2" s="174"/>
      <c r="BD2" s="174"/>
      <c r="BE2" s="174"/>
      <c r="BF2" s="174"/>
    </row>
    <row r="3" spans="1:112" ht="73" thickBot="1" x14ac:dyDescent="0.4">
      <c r="A3" s="3"/>
      <c r="B3" s="4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6" t="s">
        <v>15</v>
      </c>
      <c r="N3" s="7" t="s">
        <v>16</v>
      </c>
      <c r="O3" s="8" t="s">
        <v>5</v>
      </c>
      <c r="P3" s="9" t="s">
        <v>6</v>
      </c>
      <c r="Q3" s="9" t="s">
        <v>7</v>
      </c>
      <c r="R3" s="8" t="s">
        <v>8</v>
      </c>
      <c r="S3" s="8" t="s">
        <v>9</v>
      </c>
      <c r="T3" s="9" t="s">
        <v>11</v>
      </c>
      <c r="U3" s="9" t="s">
        <v>17</v>
      </c>
      <c r="V3" s="9" t="s">
        <v>12</v>
      </c>
      <c r="W3" s="9" t="s">
        <v>13</v>
      </c>
      <c r="X3" s="9" t="s">
        <v>14</v>
      </c>
      <c r="Y3" s="10" t="s">
        <v>15</v>
      </c>
      <c r="Z3" s="87"/>
      <c r="AA3" s="15" t="s">
        <v>16</v>
      </c>
      <c r="AB3" s="4" t="s">
        <v>5</v>
      </c>
      <c r="AC3" s="5" t="s">
        <v>6</v>
      </c>
      <c r="AD3" s="5" t="s">
        <v>18</v>
      </c>
      <c r="AE3" s="4" t="s">
        <v>8</v>
      </c>
      <c r="AF3" s="4" t="s">
        <v>9</v>
      </c>
      <c r="AG3" s="5" t="s">
        <v>11</v>
      </c>
      <c r="AH3" s="5" t="s">
        <v>13</v>
      </c>
      <c r="AI3" s="5" t="s">
        <v>19</v>
      </c>
      <c r="AJ3" s="6" t="s">
        <v>15</v>
      </c>
      <c r="AL3" s="7" t="s">
        <v>16</v>
      </c>
      <c r="AM3" s="9" t="s">
        <v>20</v>
      </c>
      <c r="AN3" s="9" t="s">
        <v>6</v>
      </c>
      <c r="AO3" s="9" t="s">
        <v>21</v>
      </c>
      <c r="AP3" s="8" t="s">
        <v>8</v>
      </c>
      <c r="AQ3" s="8" t="s">
        <v>9</v>
      </c>
      <c r="AR3" s="9" t="s">
        <v>22</v>
      </c>
      <c r="AS3" s="9" t="s">
        <v>23</v>
      </c>
      <c r="AT3" s="9" t="s">
        <v>24</v>
      </c>
      <c r="AU3" s="9" t="s">
        <v>19</v>
      </c>
      <c r="AV3" s="10" t="s">
        <v>15</v>
      </c>
      <c r="AX3" s="15" t="s">
        <v>16</v>
      </c>
      <c r="AY3" s="5" t="s">
        <v>25</v>
      </c>
      <c r="AZ3" s="5" t="s">
        <v>6</v>
      </c>
      <c r="BA3" s="5" t="s">
        <v>26</v>
      </c>
      <c r="BB3" s="4" t="s">
        <v>8</v>
      </c>
      <c r="BC3" s="4" t="s">
        <v>9</v>
      </c>
      <c r="BD3" s="5" t="s">
        <v>27</v>
      </c>
      <c r="BE3" s="5" t="s">
        <v>19</v>
      </c>
      <c r="BF3" s="6" t="s">
        <v>15</v>
      </c>
    </row>
    <row r="4" spans="1:112" s="20" customFormat="1" ht="16.5" thickBot="1" x14ac:dyDescent="0.4">
      <c r="A4" s="16">
        <v>1</v>
      </c>
      <c r="B4" s="45">
        <v>44378</v>
      </c>
      <c r="C4" s="44" t="s">
        <v>28</v>
      </c>
      <c r="D4" s="19">
        <v>40030.58</v>
      </c>
      <c r="E4" s="20" t="s">
        <v>29</v>
      </c>
      <c r="F4" s="20" t="s">
        <v>41</v>
      </c>
      <c r="G4" s="20">
        <v>40</v>
      </c>
      <c r="H4" s="20">
        <f>G4*J4</f>
        <v>160</v>
      </c>
      <c r="J4" s="20">
        <v>4</v>
      </c>
      <c r="K4" s="20">
        <f>[2]REFERENCE!$E$37</f>
        <v>0.59279999999999999</v>
      </c>
      <c r="L4" s="21">
        <f>H4*K4/1000</f>
        <v>9.4848000000000002E-2</v>
      </c>
      <c r="M4" s="22"/>
      <c r="N4" s="23">
        <v>1</v>
      </c>
      <c r="O4" s="24">
        <v>44382</v>
      </c>
      <c r="P4" s="25" t="s">
        <v>66</v>
      </c>
      <c r="Q4" s="26">
        <v>24945.25</v>
      </c>
      <c r="R4" s="27" t="s">
        <v>32</v>
      </c>
      <c r="S4" s="88" t="s">
        <v>30</v>
      </c>
      <c r="T4" s="27">
        <v>21</v>
      </c>
      <c r="U4" s="27" t="s">
        <v>113</v>
      </c>
      <c r="V4" s="27"/>
      <c r="W4" s="27" t="s">
        <v>33</v>
      </c>
      <c r="X4" s="27">
        <f>[2]REFERENCE!$E$37</f>
        <v>0.59279999999999999</v>
      </c>
      <c r="Y4" s="28">
        <f>T4*X4/1000</f>
        <v>1.2448799999999999E-2</v>
      </c>
      <c r="Z4" s="89"/>
      <c r="AA4" s="90">
        <v>1</v>
      </c>
      <c r="AB4" s="91">
        <v>44382</v>
      </c>
      <c r="AC4" s="92" t="s">
        <v>66</v>
      </c>
      <c r="AD4" s="93">
        <v>24945.25</v>
      </c>
      <c r="AE4" s="94" t="s">
        <v>32</v>
      </c>
      <c r="AF4" s="95" t="s">
        <v>34</v>
      </c>
      <c r="AG4" s="94">
        <v>702</v>
      </c>
      <c r="AH4" s="94"/>
      <c r="AI4" s="96">
        <f>[2]REFERENCE!$E$38</f>
        <v>9.9600000000000001E-3</v>
      </c>
      <c r="AJ4" s="97">
        <f t="shared" ref="AJ4:AJ67" si="0">AD4*AG4*AI4/10^6</f>
        <v>0.17441519238</v>
      </c>
      <c r="AK4" s="22"/>
      <c r="AL4" s="23">
        <v>1</v>
      </c>
      <c r="AM4" s="24">
        <v>44382</v>
      </c>
      <c r="AN4" s="25" t="s">
        <v>66</v>
      </c>
      <c r="AO4" s="26">
        <v>24945.25</v>
      </c>
      <c r="AP4" s="88" t="s">
        <v>34</v>
      </c>
      <c r="AQ4" s="88" t="s">
        <v>35</v>
      </c>
      <c r="AR4" s="27" t="s">
        <v>114</v>
      </c>
      <c r="AS4" s="98">
        <v>9036</v>
      </c>
      <c r="AT4" s="99">
        <f>AS4*1.852</f>
        <v>16734.672000000002</v>
      </c>
      <c r="AU4" s="98">
        <f>[2]REFERENCE!$E$39</f>
        <v>8.3999999999999995E-3</v>
      </c>
      <c r="AV4" s="100">
        <f t="shared" ref="AV4:AV67" si="1">AO4*AT4*AU4/10^6</f>
        <v>3.5065848443472003</v>
      </c>
      <c r="AW4" s="22"/>
      <c r="AX4" s="16">
        <v>1</v>
      </c>
      <c r="AY4" s="43">
        <v>44456</v>
      </c>
      <c r="AZ4" s="40" t="s">
        <v>67</v>
      </c>
      <c r="BA4" s="44">
        <v>50</v>
      </c>
      <c r="BB4" s="18" t="s">
        <v>30</v>
      </c>
      <c r="BC4" s="18" t="s">
        <v>68</v>
      </c>
      <c r="BD4" s="35">
        <v>3692</v>
      </c>
      <c r="BE4" s="20">
        <f>[2]REFERENCE!$E$40</f>
        <v>1.58</v>
      </c>
      <c r="BF4" s="41">
        <f t="shared" ref="BF4:BF5" si="2">BA4*BD4*BE4/10^6</f>
        <v>0.29166799999999998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</row>
    <row r="5" spans="1:112" ht="16.5" thickBot="1" x14ac:dyDescent="0.4">
      <c r="A5" s="16">
        <v>2</v>
      </c>
      <c r="B5" s="45">
        <v>44378</v>
      </c>
      <c r="C5" s="44"/>
      <c r="D5" s="19">
        <v>56216.65</v>
      </c>
      <c r="E5" s="20" t="s">
        <v>29</v>
      </c>
      <c r="F5" s="20" t="s">
        <v>30</v>
      </c>
      <c r="G5" s="20">
        <v>236</v>
      </c>
      <c r="H5" s="20">
        <f t="shared" ref="H5:H38" si="3">G5*J5</f>
        <v>1416</v>
      </c>
      <c r="I5" s="20"/>
      <c r="J5" s="20">
        <v>6</v>
      </c>
      <c r="K5" s="20">
        <f>[2]REFERENCE!$E$37</f>
        <v>0.59279999999999999</v>
      </c>
      <c r="L5" s="21">
        <f t="shared" ref="L5:L48" si="4">H5*K5/1000</f>
        <v>0.83940480000000006</v>
      </c>
      <c r="N5" s="16">
        <v>2</v>
      </c>
      <c r="O5" s="30">
        <v>44385</v>
      </c>
      <c r="P5" s="31" t="s">
        <v>69</v>
      </c>
      <c r="Q5" s="32">
        <v>24000</v>
      </c>
      <c r="R5" s="20" t="s">
        <v>32</v>
      </c>
      <c r="S5" s="33" t="s">
        <v>30</v>
      </c>
      <c r="T5" s="20">
        <v>645</v>
      </c>
      <c r="U5" s="27" t="s">
        <v>113</v>
      </c>
      <c r="V5" s="20"/>
      <c r="W5" s="20" t="s">
        <v>33</v>
      </c>
      <c r="X5" s="20">
        <f>[2]REFERENCE!$E$37</f>
        <v>0.59279999999999999</v>
      </c>
      <c r="Y5" s="21">
        <f t="shared" ref="Y5:Y68" si="5">T5*X5/1000</f>
        <v>0.38235599999999997</v>
      </c>
      <c r="AA5" s="29">
        <v>2</v>
      </c>
      <c r="AB5" s="30">
        <v>44385</v>
      </c>
      <c r="AC5" s="31" t="s">
        <v>69</v>
      </c>
      <c r="AD5" s="32">
        <v>24000</v>
      </c>
      <c r="AE5" s="20" t="s">
        <v>32</v>
      </c>
      <c r="AF5" s="33" t="s">
        <v>34</v>
      </c>
      <c r="AG5" s="20">
        <v>702</v>
      </c>
      <c r="AH5" s="20"/>
      <c r="AI5" s="34">
        <f>[2]REFERENCE!$E$38</f>
        <v>9.9600000000000001E-3</v>
      </c>
      <c r="AJ5" s="21">
        <f t="shared" si="0"/>
        <v>0.16780608000000002</v>
      </c>
      <c r="AL5" s="101">
        <v>2</v>
      </c>
      <c r="AM5" s="102">
        <v>44385</v>
      </c>
      <c r="AN5" s="103" t="s">
        <v>69</v>
      </c>
      <c r="AO5" s="104">
        <v>24000</v>
      </c>
      <c r="AP5" s="105" t="s">
        <v>34</v>
      </c>
      <c r="AQ5" s="105" t="s">
        <v>52</v>
      </c>
      <c r="AR5" s="27" t="s">
        <v>114</v>
      </c>
      <c r="AS5" s="107">
        <v>7082</v>
      </c>
      <c r="AT5" s="108">
        <f t="shared" ref="AT5:AT68" si="6">AS5*1.852</f>
        <v>13115.864000000001</v>
      </c>
      <c r="AU5" s="107">
        <f>[2]REFERENCE!$E$39</f>
        <v>8.3999999999999995E-3</v>
      </c>
      <c r="AV5" s="109">
        <f t="shared" si="1"/>
        <v>2.6441581824000004</v>
      </c>
      <c r="AX5" s="16">
        <v>2</v>
      </c>
      <c r="AY5" s="43">
        <v>44470</v>
      </c>
      <c r="AZ5" s="40" t="s">
        <v>70</v>
      </c>
      <c r="BA5" s="44">
        <v>25</v>
      </c>
      <c r="BB5" s="18" t="s">
        <v>30</v>
      </c>
      <c r="BC5" s="18" t="s">
        <v>37</v>
      </c>
      <c r="BD5" s="35">
        <v>6647</v>
      </c>
      <c r="BE5" s="20">
        <f>[2]REFERENCE!$E$40</f>
        <v>1.58</v>
      </c>
      <c r="BF5" s="41">
        <f t="shared" si="2"/>
        <v>0.26255650000000003</v>
      </c>
    </row>
    <row r="6" spans="1:112" ht="16.5" thickBot="1" x14ac:dyDescent="0.4">
      <c r="A6" s="16">
        <v>3</v>
      </c>
      <c r="B6" s="45">
        <v>44378</v>
      </c>
      <c r="C6" s="44"/>
      <c r="D6" s="19">
        <v>83733.7</v>
      </c>
      <c r="E6" s="20" t="s">
        <v>38</v>
      </c>
      <c r="F6" s="20" t="s">
        <v>41</v>
      </c>
      <c r="G6" s="20">
        <v>164</v>
      </c>
      <c r="H6" s="20">
        <f t="shared" si="3"/>
        <v>984</v>
      </c>
      <c r="I6" s="20"/>
      <c r="J6" s="20">
        <v>6</v>
      </c>
      <c r="K6" s="20">
        <f>[2]REFERENCE!$E$37</f>
        <v>0.59279999999999999</v>
      </c>
      <c r="L6" s="21">
        <f t="shared" si="4"/>
        <v>0.58331520000000003</v>
      </c>
      <c r="N6" s="16">
        <v>3</v>
      </c>
      <c r="O6" s="30">
        <v>44401</v>
      </c>
      <c r="P6" s="46" t="s">
        <v>39</v>
      </c>
      <c r="Q6" s="32">
        <v>25000</v>
      </c>
      <c r="R6" s="20" t="s">
        <v>32</v>
      </c>
      <c r="S6" s="33" t="s">
        <v>71</v>
      </c>
      <c r="T6" s="20">
        <v>645</v>
      </c>
      <c r="U6" s="27" t="s">
        <v>113</v>
      </c>
      <c r="V6" s="20"/>
      <c r="W6" s="20" t="s">
        <v>33</v>
      </c>
      <c r="X6" s="20">
        <f>[2]REFERENCE!$E$37</f>
        <v>0.59279999999999999</v>
      </c>
      <c r="Y6" s="21">
        <f t="shared" si="5"/>
        <v>0.38235599999999997</v>
      </c>
      <c r="AA6" s="29">
        <v>3</v>
      </c>
      <c r="AB6" s="30">
        <v>44407</v>
      </c>
      <c r="AC6" s="46" t="s">
        <v>44</v>
      </c>
      <c r="AD6" s="32">
        <v>24948</v>
      </c>
      <c r="AE6" s="20" t="s">
        <v>32</v>
      </c>
      <c r="AF6" s="33" t="s">
        <v>34</v>
      </c>
      <c r="AG6" s="20">
        <v>702</v>
      </c>
      <c r="AH6" s="20"/>
      <c r="AI6" s="34">
        <f>[2]REFERENCE!$E$38</f>
        <v>9.9600000000000001E-3</v>
      </c>
      <c r="AJ6" s="21">
        <f t="shared" si="0"/>
        <v>0.17443442016000002</v>
      </c>
      <c r="AL6" s="110">
        <v>3</v>
      </c>
      <c r="AM6" s="111">
        <v>44401</v>
      </c>
      <c r="AN6" s="112" t="s">
        <v>39</v>
      </c>
      <c r="AO6" s="56">
        <v>25000</v>
      </c>
      <c r="AP6" s="82" t="s">
        <v>71</v>
      </c>
      <c r="AQ6" s="82" t="s">
        <v>40</v>
      </c>
      <c r="AR6" s="27" t="s">
        <v>114</v>
      </c>
      <c r="AS6" s="49">
        <v>2701</v>
      </c>
      <c r="AT6" s="113">
        <f t="shared" si="6"/>
        <v>5002.2520000000004</v>
      </c>
      <c r="AU6" s="49">
        <f>[2]REFERENCE!$E$39</f>
        <v>8.3999999999999995E-3</v>
      </c>
      <c r="AV6" s="114">
        <f t="shared" si="1"/>
        <v>1.0504729200000003</v>
      </c>
      <c r="AX6" s="16"/>
      <c r="AY6" s="20"/>
      <c r="AZ6" s="20"/>
      <c r="BA6" s="20"/>
      <c r="BB6" s="20"/>
      <c r="BC6" s="20"/>
      <c r="BD6" s="20"/>
      <c r="BE6" s="20"/>
      <c r="BF6" s="41"/>
    </row>
    <row r="7" spans="1:112" ht="16.5" thickBot="1" x14ac:dyDescent="0.4">
      <c r="A7" s="16">
        <v>4</v>
      </c>
      <c r="B7" s="45">
        <v>44378</v>
      </c>
      <c r="C7" s="44"/>
      <c r="D7" s="19">
        <v>71701.2</v>
      </c>
      <c r="E7" s="20" t="s">
        <v>38</v>
      </c>
      <c r="F7" s="20" t="s">
        <v>30</v>
      </c>
      <c r="G7" s="20">
        <v>358</v>
      </c>
      <c r="H7" s="20">
        <f t="shared" si="3"/>
        <v>1790</v>
      </c>
      <c r="I7" s="20"/>
      <c r="J7" s="20">
        <v>5</v>
      </c>
      <c r="K7" s="20">
        <f>[2]REFERENCE!$E$37</f>
        <v>0.59279999999999999</v>
      </c>
      <c r="L7" s="21">
        <f t="shared" si="4"/>
        <v>1.0611120000000001</v>
      </c>
      <c r="N7" s="16">
        <v>4</v>
      </c>
      <c r="O7" s="30">
        <v>44407</v>
      </c>
      <c r="P7" s="31" t="s">
        <v>44</v>
      </c>
      <c r="Q7" s="32">
        <v>24948</v>
      </c>
      <c r="R7" s="20" t="s">
        <v>32</v>
      </c>
      <c r="S7" s="33" t="s">
        <v>30</v>
      </c>
      <c r="T7" s="20">
        <v>645</v>
      </c>
      <c r="U7" s="27" t="s">
        <v>113</v>
      </c>
      <c r="V7" s="20"/>
      <c r="W7" s="20" t="s">
        <v>33</v>
      </c>
      <c r="X7" s="20">
        <f>[2]REFERENCE!$E$37</f>
        <v>0.59279999999999999</v>
      </c>
      <c r="Y7" s="21">
        <f t="shared" si="5"/>
        <v>0.38235599999999997</v>
      </c>
      <c r="AA7" s="29">
        <v>4</v>
      </c>
      <c r="AB7" s="30">
        <v>44409</v>
      </c>
      <c r="AC7" s="31" t="s">
        <v>72</v>
      </c>
      <c r="AD7" s="32">
        <v>10800</v>
      </c>
      <c r="AE7" s="20" t="s">
        <v>32</v>
      </c>
      <c r="AF7" s="33" t="s">
        <v>34</v>
      </c>
      <c r="AG7" s="20">
        <v>702</v>
      </c>
      <c r="AH7" s="20"/>
      <c r="AI7" s="34">
        <f>[2]REFERENCE!$E$38</f>
        <v>9.9600000000000001E-3</v>
      </c>
      <c r="AJ7" s="21">
        <f t="shared" si="0"/>
        <v>7.5512736000000011E-2</v>
      </c>
      <c r="AL7" s="115">
        <v>4</v>
      </c>
      <c r="AM7" s="116">
        <v>44407</v>
      </c>
      <c r="AN7" s="117" t="s">
        <v>44</v>
      </c>
      <c r="AO7" s="118">
        <v>24948</v>
      </c>
      <c r="AP7" s="119" t="s">
        <v>34</v>
      </c>
      <c r="AQ7" s="120" t="s">
        <v>35</v>
      </c>
      <c r="AR7" s="27" t="s">
        <v>114</v>
      </c>
      <c r="AS7" s="65">
        <v>9036</v>
      </c>
      <c r="AT7" s="121">
        <f t="shared" si="6"/>
        <v>16734.672000000002</v>
      </c>
      <c r="AU7" s="65">
        <f>[2]REFERENCE!$E$39</f>
        <v>8.3999999999999995E-3</v>
      </c>
      <c r="AV7" s="122">
        <f t="shared" si="1"/>
        <v>3.5069714152704003</v>
      </c>
      <c r="AX7" s="16"/>
      <c r="AY7" s="43"/>
      <c r="AZ7" s="20"/>
      <c r="BA7" s="44"/>
      <c r="BB7" s="20"/>
      <c r="BC7" s="20"/>
      <c r="BD7" s="35"/>
      <c r="BE7" s="20"/>
      <c r="BF7" s="41"/>
    </row>
    <row r="8" spans="1:112" ht="16.5" thickBot="1" x14ac:dyDescent="0.4">
      <c r="A8" s="16">
        <v>5</v>
      </c>
      <c r="B8" s="45">
        <v>44409</v>
      </c>
      <c r="C8" s="44" t="s">
        <v>28</v>
      </c>
      <c r="D8" s="19">
        <v>51515.8</v>
      </c>
      <c r="E8" s="20" t="s">
        <v>29</v>
      </c>
      <c r="F8" s="20" t="s">
        <v>41</v>
      </c>
      <c r="G8" s="20">
        <v>40</v>
      </c>
      <c r="H8" s="20">
        <f t="shared" si="3"/>
        <v>200</v>
      </c>
      <c r="I8" s="20"/>
      <c r="J8" s="20">
        <v>5</v>
      </c>
      <c r="K8" s="20">
        <f>[2]REFERENCE!$E$37</f>
        <v>0.59279999999999999</v>
      </c>
      <c r="L8" s="21">
        <f t="shared" si="4"/>
        <v>0.11856</v>
      </c>
      <c r="N8" s="16">
        <v>5</v>
      </c>
      <c r="O8" s="30">
        <v>44408</v>
      </c>
      <c r="P8" s="31" t="s">
        <v>39</v>
      </c>
      <c r="Q8" s="32">
        <v>25000</v>
      </c>
      <c r="R8" s="20" t="s">
        <v>32</v>
      </c>
      <c r="S8" s="33" t="s">
        <v>71</v>
      </c>
      <c r="T8" s="20">
        <v>645</v>
      </c>
      <c r="U8" s="27" t="s">
        <v>113</v>
      </c>
      <c r="V8" s="20"/>
      <c r="W8" s="20" t="s">
        <v>33</v>
      </c>
      <c r="X8" s="20">
        <f>[2]REFERENCE!$E$37</f>
        <v>0.59279999999999999</v>
      </c>
      <c r="Y8" s="21">
        <f t="shared" si="5"/>
        <v>0.38235599999999997</v>
      </c>
      <c r="AA8" s="29">
        <v>5</v>
      </c>
      <c r="AB8" s="30">
        <v>44418</v>
      </c>
      <c r="AC8" s="31" t="s">
        <v>46</v>
      </c>
      <c r="AD8" s="32">
        <v>24948</v>
      </c>
      <c r="AE8" s="20" t="s">
        <v>32</v>
      </c>
      <c r="AF8" s="33" t="s">
        <v>34</v>
      </c>
      <c r="AG8" s="20">
        <v>702</v>
      </c>
      <c r="AH8" s="20"/>
      <c r="AI8" s="34">
        <f>[2]REFERENCE!$E$38</f>
        <v>9.9600000000000001E-3</v>
      </c>
      <c r="AJ8" s="21">
        <f t="shared" si="0"/>
        <v>0.17443442016000002</v>
      </c>
      <c r="AL8" s="110">
        <v>5</v>
      </c>
      <c r="AM8" s="111">
        <v>44408</v>
      </c>
      <c r="AN8" s="123" t="s">
        <v>39</v>
      </c>
      <c r="AO8" s="56">
        <v>25000</v>
      </c>
      <c r="AP8" s="82" t="s">
        <v>71</v>
      </c>
      <c r="AQ8" s="82" t="s">
        <v>40</v>
      </c>
      <c r="AR8" s="27" t="s">
        <v>114</v>
      </c>
      <c r="AS8" s="49">
        <v>2701</v>
      </c>
      <c r="AT8" s="113">
        <f t="shared" si="6"/>
        <v>5002.2520000000004</v>
      </c>
      <c r="AU8" s="49">
        <f>[2]REFERENCE!$E$39</f>
        <v>8.3999999999999995E-3</v>
      </c>
      <c r="AV8" s="114">
        <f t="shared" si="1"/>
        <v>1.0504729200000003</v>
      </c>
      <c r="AX8" s="16"/>
      <c r="AY8" s="43"/>
      <c r="AZ8" s="20"/>
      <c r="BA8" s="44"/>
      <c r="BB8" s="20"/>
      <c r="BC8" s="20"/>
      <c r="BD8" s="35"/>
      <c r="BE8" s="20"/>
      <c r="BF8" s="41"/>
    </row>
    <row r="9" spans="1:112" ht="16.5" thickBot="1" x14ac:dyDescent="0.4">
      <c r="A9" s="16">
        <v>6</v>
      </c>
      <c r="B9" s="45">
        <v>44409</v>
      </c>
      <c r="C9" s="44"/>
      <c r="D9" s="19">
        <v>18655.600000000002</v>
      </c>
      <c r="E9" s="20" t="s">
        <v>29</v>
      </c>
      <c r="F9" s="20" t="s">
        <v>30</v>
      </c>
      <c r="G9" s="20">
        <v>236</v>
      </c>
      <c r="H9" s="20">
        <f t="shared" si="3"/>
        <v>472</v>
      </c>
      <c r="I9" s="20"/>
      <c r="J9" s="20">
        <v>2</v>
      </c>
      <c r="K9" s="20">
        <f>[2]REFERENCE!$E$37</f>
        <v>0.59279999999999999</v>
      </c>
      <c r="L9" s="21">
        <f t="shared" si="4"/>
        <v>0.27980159999999998</v>
      </c>
      <c r="N9" s="16">
        <v>6</v>
      </c>
      <c r="O9" s="30">
        <v>44409</v>
      </c>
      <c r="P9" s="38" t="s">
        <v>72</v>
      </c>
      <c r="Q9" s="32">
        <v>10800</v>
      </c>
      <c r="R9" s="20" t="s">
        <v>32</v>
      </c>
      <c r="S9" s="33" t="s">
        <v>30</v>
      </c>
      <c r="T9" s="20">
        <v>645</v>
      </c>
      <c r="U9" s="27" t="s">
        <v>113</v>
      </c>
      <c r="V9" s="20"/>
      <c r="W9" s="20" t="s">
        <v>33</v>
      </c>
      <c r="X9" s="20">
        <f>[2]REFERENCE!$E$37</f>
        <v>0.59279999999999999</v>
      </c>
      <c r="Y9" s="21">
        <f t="shared" si="5"/>
        <v>0.38235599999999997</v>
      </c>
      <c r="AA9" s="29">
        <v>6</v>
      </c>
      <c r="AB9" s="30">
        <v>44421</v>
      </c>
      <c r="AC9" s="31" t="s">
        <v>73</v>
      </c>
      <c r="AD9" s="32">
        <v>6250</v>
      </c>
      <c r="AE9" s="20" t="s">
        <v>32</v>
      </c>
      <c r="AF9" s="33" t="s">
        <v>34</v>
      </c>
      <c r="AG9" s="20">
        <v>702</v>
      </c>
      <c r="AH9" s="20"/>
      <c r="AI9" s="34">
        <f>[2]REFERENCE!$E$38</f>
        <v>9.9600000000000001E-3</v>
      </c>
      <c r="AJ9" s="21">
        <f t="shared" si="0"/>
        <v>4.3699500000000002E-2</v>
      </c>
      <c r="AL9" s="23">
        <v>6</v>
      </c>
      <c r="AM9" s="24">
        <v>44409</v>
      </c>
      <c r="AN9" s="124" t="s">
        <v>72</v>
      </c>
      <c r="AO9" s="26">
        <v>10800</v>
      </c>
      <c r="AP9" s="88" t="s">
        <v>34</v>
      </c>
      <c r="AQ9" s="88" t="s">
        <v>43</v>
      </c>
      <c r="AR9" s="27" t="s">
        <v>114</v>
      </c>
      <c r="AS9" s="98">
        <v>7082</v>
      </c>
      <c r="AT9" s="99">
        <f t="shared" si="6"/>
        <v>13115.864000000001</v>
      </c>
      <c r="AU9" s="98">
        <f>[2]REFERENCE!$E$39</f>
        <v>8.3999999999999995E-3</v>
      </c>
      <c r="AV9" s="100">
        <f t="shared" si="1"/>
        <v>1.1898711820800001</v>
      </c>
      <c r="AX9" s="16"/>
      <c r="AY9" s="43"/>
      <c r="AZ9" s="20"/>
      <c r="BA9" s="44"/>
      <c r="BB9" s="20"/>
      <c r="BC9" s="20"/>
      <c r="BD9" s="35"/>
      <c r="BE9" s="20"/>
      <c r="BF9" s="41"/>
    </row>
    <row r="10" spans="1:112" ht="16.5" thickBot="1" x14ac:dyDescent="0.4">
      <c r="A10" s="16">
        <v>7</v>
      </c>
      <c r="B10" s="45">
        <v>44409</v>
      </c>
      <c r="C10" s="44"/>
      <c r="D10" s="19">
        <v>26653.05</v>
      </c>
      <c r="E10" s="20" t="s">
        <v>38</v>
      </c>
      <c r="F10" s="20" t="s">
        <v>41</v>
      </c>
      <c r="G10" s="20">
        <v>164</v>
      </c>
      <c r="H10" s="20">
        <f t="shared" si="3"/>
        <v>328</v>
      </c>
      <c r="I10" s="20"/>
      <c r="J10" s="20">
        <v>2</v>
      </c>
      <c r="K10" s="20">
        <f>[2]REFERENCE!$E$37</f>
        <v>0.59279999999999999</v>
      </c>
      <c r="L10" s="21">
        <f t="shared" si="4"/>
        <v>0.19443840000000001</v>
      </c>
      <c r="N10" s="16">
        <v>7</v>
      </c>
      <c r="O10" s="30">
        <v>44418</v>
      </c>
      <c r="P10" s="31" t="s">
        <v>46</v>
      </c>
      <c r="Q10" s="32">
        <v>24948</v>
      </c>
      <c r="R10" s="20" t="s">
        <v>32</v>
      </c>
      <c r="S10" s="47" t="s">
        <v>30</v>
      </c>
      <c r="T10" s="20">
        <v>645</v>
      </c>
      <c r="U10" s="27" t="s">
        <v>113</v>
      </c>
      <c r="V10" s="20"/>
      <c r="W10" s="20" t="s">
        <v>33</v>
      </c>
      <c r="X10" s="20">
        <f>[2]REFERENCE!$E$37</f>
        <v>0.59279999999999999</v>
      </c>
      <c r="Y10" s="21">
        <f t="shared" si="5"/>
        <v>0.38235599999999997</v>
      </c>
      <c r="AA10" s="29">
        <v>7</v>
      </c>
      <c r="AB10" s="30">
        <v>44421</v>
      </c>
      <c r="AC10" s="31" t="s">
        <v>31</v>
      </c>
      <c r="AD10" s="32">
        <v>24948</v>
      </c>
      <c r="AE10" s="20" t="s">
        <v>32</v>
      </c>
      <c r="AF10" s="33" t="s">
        <v>34</v>
      </c>
      <c r="AG10" s="20">
        <v>702</v>
      </c>
      <c r="AH10" s="20"/>
      <c r="AI10" s="34">
        <f>[2]REFERENCE!$E$38</f>
        <v>9.9600000000000001E-3</v>
      </c>
      <c r="AJ10" s="21">
        <f t="shared" si="0"/>
        <v>0.17443442016000002</v>
      </c>
      <c r="AL10" s="16">
        <v>7</v>
      </c>
      <c r="AM10" s="30">
        <v>44418</v>
      </c>
      <c r="AN10" s="31" t="s">
        <v>46</v>
      </c>
      <c r="AO10" s="32">
        <v>24948</v>
      </c>
      <c r="AP10" s="47" t="s">
        <v>34</v>
      </c>
      <c r="AQ10" s="47" t="s">
        <v>35</v>
      </c>
      <c r="AR10" s="27" t="s">
        <v>114</v>
      </c>
      <c r="AS10" s="35">
        <v>9036</v>
      </c>
      <c r="AT10" s="36">
        <f t="shared" si="6"/>
        <v>16734.672000000002</v>
      </c>
      <c r="AU10" s="35">
        <f>[2]REFERENCE!$E$39</f>
        <v>8.3999999999999995E-3</v>
      </c>
      <c r="AV10" s="37">
        <f t="shared" si="1"/>
        <v>3.5069714152704003</v>
      </c>
      <c r="AX10" s="16"/>
      <c r="AY10" s="43"/>
      <c r="AZ10" s="20"/>
      <c r="BA10" s="44"/>
      <c r="BB10" s="20"/>
      <c r="BC10" s="20"/>
      <c r="BD10" s="35"/>
      <c r="BE10" s="20"/>
      <c r="BF10" s="41"/>
    </row>
    <row r="11" spans="1:112" ht="16.5" thickBot="1" x14ac:dyDescent="0.4">
      <c r="A11" s="16">
        <v>8</v>
      </c>
      <c r="B11" s="45">
        <v>44409</v>
      </c>
      <c r="C11" s="44"/>
      <c r="D11" s="19">
        <v>43667</v>
      </c>
      <c r="E11" s="20" t="s">
        <v>38</v>
      </c>
      <c r="F11" s="20" t="s">
        <v>30</v>
      </c>
      <c r="G11" s="20">
        <v>358</v>
      </c>
      <c r="H11" s="20">
        <f t="shared" si="3"/>
        <v>1074</v>
      </c>
      <c r="I11" s="20"/>
      <c r="J11" s="20">
        <v>3</v>
      </c>
      <c r="K11" s="20">
        <f>[2]REFERENCE!$E$37</f>
        <v>0.59279999999999999</v>
      </c>
      <c r="L11" s="21">
        <f t="shared" si="4"/>
        <v>0.63666719999999999</v>
      </c>
      <c r="N11" s="16">
        <v>8</v>
      </c>
      <c r="O11" s="30">
        <v>44421</v>
      </c>
      <c r="P11" s="31" t="s">
        <v>73</v>
      </c>
      <c r="Q11" s="32">
        <v>6250</v>
      </c>
      <c r="R11" s="20" t="s">
        <v>32</v>
      </c>
      <c r="S11" s="47" t="s">
        <v>30</v>
      </c>
      <c r="T11" s="20">
        <v>645</v>
      </c>
      <c r="U11" s="27" t="s">
        <v>113</v>
      </c>
      <c r="V11" s="20"/>
      <c r="W11" s="20" t="s">
        <v>33</v>
      </c>
      <c r="X11" s="20">
        <f>[2]REFERENCE!$E$37</f>
        <v>0.59279999999999999</v>
      </c>
      <c r="Y11" s="21">
        <f t="shared" si="5"/>
        <v>0.38235599999999997</v>
      </c>
      <c r="AA11" s="29">
        <v>8</v>
      </c>
      <c r="AB11" s="30">
        <v>44426</v>
      </c>
      <c r="AC11" s="31" t="s">
        <v>44</v>
      </c>
      <c r="AD11" s="32">
        <v>24946.899999999998</v>
      </c>
      <c r="AE11" s="20" t="s">
        <v>32</v>
      </c>
      <c r="AF11" s="33" t="s">
        <v>34</v>
      </c>
      <c r="AG11" s="20">
        <v>702</v>
      </c>
      <c r="AH11" s="20"/>
      <c r="AI11" s="34">
        <f>[2]REFERENCE!$E$38</f>
        <v>9.9600000000000001E-3</v>
      </c>
      <c r="AJ11" s="21">
        <f t="shared" si="0"/>
        <v>0.17442672904799997</v>
      </c>
      <c r="AL11" s="16">
        <v>8</v>
      </c>
      <c r="AM11" s="30">
        <v>44421</v>
      </c>
      <c r="AN11" s="31" t="s">
        <v>73</v>
      </c>
      <c r="AO11" s="32">
        <v>6250</v>
      </c>
      <c r="AP11" s="47" t="s">
        <v>34</v>
      </c>
      <c r="AQ11" s="47" t="s">
        <v>52</v>
      </c>
      <c r="AR11" s="27" t="s">
        <v>115</v>
      </c>
      <c r="AS11" s="35">
        <v>7082</v>
      </c>
      <c r="AT11" s="36">
        <f t="shared" si="6"/>
        <v>13115.864000000001</v>
      </c>
      <c r="AU11" s="35">
        <f>[2]REFERENCE!$E$39</f>
        <v>8.3999999999999995E-3</v>
      </c>
      <c r="AV11" s="37">
        <f t="shared" si="1"/>
        <v>0.68858286000000013</v>
      </c>
      <c r="AX11" s="16"/>
      <c r="AY11" s="43"/>
      <c r="AZ11" s="20"/>
      <c r="BA11" s="44"/>
      <c r="BB11" s="20"/>
      <c r="BC11" s="20"/>
      <c r="BD11" s="35"/>
      <c r="BE11" s="20"/>
      <c r="BF11" s="41"/>
    </row>
    <row r="12" spans="1:112" ht="16.5" thickBot="1" x14ac:dyDescent="0.4">
      <c r="A12" s="16">
        <v>9</v>
      </c>
      <c r="B12" s="45">
        <v>44440</v>
      </c>
      <c r="C12" s="44" t="s">
        <v>28</v>
      </c>
      <c r="D12" s="19">
        <v>29459.4</v>
      </c>
      <c r="E12" s="20" t="s">
        <v>29</v>
      </c>
      <c r="F12" s="20" t="s">
        <v>41</v>
      </c>
      <c r="G12" s="20">
        <v>40</v>
      </c>
      <c r="H12" s="20">
        <f t="shared" si="3"/>
        <v>120</v>
      </c>
      <c r="I12" s="20"/>
      <c r="J12" s="20">
        <v>3</v>
      </c>
      <c r="K12" s="20">
        <f>[2]REFERENCE!$E$37</f>
        <v>0.59279999999999999</v>
      </c>
      <c r="L12" s="21">
        <f t="shared" si="4"/>
        <v>7.1135999999999991E-2</v>
      </c>
      <c r="N12" s="16">
        <v>9</v>
      </c>
      <c r="O12" s="30">
        <v>44421</v>
      </c>
      <c r="P12" s="31" t="s">
        <v>31</v>
      </c>
      <c r="Q12" s="32">
        <v>24948</v>
      </c>
      <c r="R12" s="20" t="s">
        <v>32</v>
      </c>
      <c r="S12" s="33" t="s">
        <v>30</v>
      </c>
      <c r="T12" s="20">
        <v>645</v>
      </c>
      <c r="U12" s="27" t="s">
        <v>113</v>
      </c>
      <c r="V12" s="20"/>
      <c r="W12" s="20" t="s">
        <v>33</v>
      </c>
      <c r="X12" s="20">
        <f>[2]REFERENCE!$E$37</f>
        <v>0.59279999999999999</v>
      </c>
      <c r="Y12" s="21">
        <f t="shared" si="5"/>
        <v>0.38235599999999997</v>
      </c>
      <c r="AA12" s="29">
        <v>9</v>
      </c>
      <c r="AB12" s="30">
        <v>44428</v>
      </c>
      <c r="AC12" s="31" t="s">
        <v>53</v>
      </c>
      <c r="AD12" s="32">
        <v>24452</v>
      </c>
      <c r="AE12" s="20" t="s">
        <v>32</v>
      </c>
      <c r="AF12" s="33" t="s">
        <v>34</v>
      </c>
      <c r="AG12" s="20">
        <v>702</v>
      </c>
      <c r="AH12" s="20"/>
      <c r="AI12" s="34">
        <f>[2]REFERENCE!$E$38</f>
        <v>9.9600000000000001E-3</v>
      </c>
      <c r="AJ12" s="21">
        <f t="shared" si="0"/>
        <v>0.17096642783999999</v>
      </c>
      <c r="AL12" s="16">
        <v>9</v>
      </c>
      <c r="AM12" s="30">
        <v>44421</v>
      </c>
      <c r="AN12" s="31" t="s">
        <v>31</v>
      </c>
      <c r="AO12" s="32">
        <v>24948</v>
      </c>
      <c r="AP12" s="33" t="s">
        <v>34</v>
      </c>
      <c r="AQ12" s="33" t="s">
        <v>35</v>
      </c>
      <c r="AR12" s="27" t="s">
        <v>114</v>
      </c>
      <c r="AS12" s="35">
        <v>9036</v>
      </c>
      <c r="AT12" s="36">
        <f t="shared" si="6"/>
        <v>16734.672000000002</v>
      </c>
      <c r="AU12" s="35">
        <f>[2]REFERENCE!$E$39</f>
        <v>8.3999999999999995E-3</v>
      </c>
      <c r="AV12" s="37">
        <f t="shared" si="1"/>
        <v>3.5069714152704003</v>
      </c>
      <c r="AX12" s="16"/>
      <c r="AY12" s="43"/>
      <c r="AZ12" s="20"/>
      <c r="BA12" s="44"/>
      <c r="BB12" s="20"/>
      <c r="BC12" s="20"/>
      <c r="BD12" s="35"/>
      <c r="BE12" s="20"/>
      <c r="BF12" s="41"/>
    </row>
    <row r="13" spans="1:112" ht="16.5" thickBot="1" x14ac:dyDescent="0.4">
      <c r="A13" s="16">
        <v>10</v>
      </c>
      <c r="B13" s="45">
        <v>44440</v>
      </c>
      <c r="C13" s="44"/>
      <c r="D13" s="19">
        <v>93224</v>
      </c>
      <c r="E13" s="20" t="s">
        <v>29</v>
      </c>
      <c r="F13" s="20" t="s">
        <v>30</v>
      </c>
      <c r="G13" s="20">
        <v>236</v>
      </c>
      <c r="H13" s="20">
        <f t="shared" si="3"/>
        <v>2124</v>
      </c>
      <c r="I13" s="20"/>
      <c r="J13" s="20">
        <v>9</v>
      </c>
      <c r="K13" s="20">
        <f>[2]REFERENCE!$E$37</f>
        <v>0.59279999999999999</v>
      </c>
      <c r="L13" s="21">
        <f t="shared" si="4"/>
        <v>1.2591071999999999</v>
      </c>
      <c r="N13" s="16">
        <v>10</v>
      </c>
      <c r="O13" s="30">
        <v>44426</v>
      </c>
      <c r="P13" s="31" t="s">
        <v>44</v>
      </c>
      <c r="Q13" s="32">
        <v>24946.899999999998</v>
      </c>
      <c r="R13" s="20" t="s">
        <v>32</v>
      </c>
      <c r="S13" s="33" t="s">
        <v>30</v>
      </c>
      <c r="T13" s="20">
        <v>645</v>
      </c>
      <c r="U13" s="27" t="s">
        <v>113</v>
      </c>
      <c r="V13" s="20"/>
      <c r="W13" s="20" t="s">
        <v>33</v>
      </c>
      <c r="X13" s="20">
        <f>[2]REFERENCE!$E$37</f>
        <v>0.59279999999999999</v>
      </c>
      <c r="Y13" s="21">
        <f t="shared" si="5"/>
        <v>0.38235599999999997</v>
      </c>
      <c r="AA13" s="29">
        <v>10</v>
      </c>
      <c r="AB13" s="30">
        <v>44439</v>
      </c>
      <c r="AC13" s="31" t="s">
        <v>51</v>
      </c>
      <c r="AD13" s="32">
        <v>10000</v>
      </c>
      <c r="AE13" s="20" t="s">
        <v>32</v>
      </c>
      <c r="AF13" s="33" t="s">
        <v>34</v>
      </c>
      <c r="AG13" s="20">
        <v>702</v>
      </c>
      <c r="AH13" s="20"/>
      <c r="AI13" s="34">
        <f>[2]REFERENCE!$E$38</f>
        <v>9.9600000000000001E-3</v>
      </c>
      <c r="AJ13" s="21">
        <f t="shared" si="0"/>
        <v>6.9919200000000001E-2</v>
      </c>
      <c r="AL13" s="16">
        <v>10</v>
      </c>
      <c r="AM13" s="30">
        <v>44426</v>
      </c>
      <c r="AN13" s="31" t="s">
        <v>44</v>
      </c>
      <c r="AO13" s="32">
        <v>24946.899999999998</v>
      </c>
      <c r="AP13" s="82" t="s">
        <v>34</v>
      </c>
      <c r="AQ13" s="47" t="s">
        <v>35</v>
      </c>
      <c r="AR13" s="27" t="s">
        <v>114</v>
      </c>
      <c r="AS13" s="51">
        <v>9036</v>
      </c>
      <c r="AT13" s="36">
        <f t="shared" si="6"/>
        <v>16734.672000000002</v>
      </c>
      <c r="AU13" s="35">
        <f>[2]REFERENCE!$E$39</f>
        <v>8.3999999999999995E-3</v>
      </c>
      <c r="AV13" s="37">
        <f t="shared" si="1"/>
        <v>3.50681678690112</v>
      </c>
      <c r="AX13" s="16"/>
      <c r="AY13" s="43"/>
      <c r="AZ13" s="20"/>
      <c r="BA13" s="44"/>
      <c r="BB13" s="20"/>
      <c r="BC13" s="20"/>
      <c r="BD13" s="35"/>
      <c r="BE13" s="20"/>
      <c r="BF13" s="41"/>
    </row>
    <row r="14" spans="1:112" ht="16.5" thickBot="1" x14ac:dyDescent="0.4">
      <c r="A14" s="16">
        <v>11</v>
      </c>
      <c r="B14" s="45">
        <v>44440</v>
      </c>
      <c r="C14" s="44"/>
      <c r="D14" s="19">
        <v>15445.36</v>
      </c>
      <c r="E14" s="20" t="s">
        <v>38</v>
      </c>
      <c r="F14" s="20" t="s">
        <v>41</v>
      </c>
      <c r="G14" s="20">
        <v>164</v>
      </c>
      <c r="H14" s="20">
        <f t="shared" si="3"/>
        <v>164</v>
      </c>
      <c r="I14" s="20"/>
      <c r="J14" s="20">
        <v>1</v>
      </c>
      <c r="K14" s="20">
        <f>[2]REFERENCE!$E$37</f>
        <v>0.59279999999999999</v>
      </c>
      <c r="L14" s="21">
        <f t="shared" si="4"/>
        <v>9.7219200000000006E-2</v>
      </c>
      <c r="N14" s="16">
        <v>11</v>
      </c>
      <c r="O14" s="30">
        <v>44428</v>
      </c>
      <c r="P14" s="31" t="s">
        <v>53</v>
      </c>
      <c r="Q14" s="32">
        <v>24452</v>
      </c>
      <c r="R14" s="20" t="s">
        <v>32</v>
      </c>
      <c r="S14" s="33" t="s">
        <v>30</v>
      </c>
      <c r="T14" s="20">
        <v>645</v>
      </c>
      <c r="U14" s="27" t="s">
        <v>113</v>
      </c>
      <c r="V14" s="20"/>
      <c r="W14" s="20" t="s">
        <v>33</v>
      </c>
      <c r="X14" s="20">
        <f>[2]REFERENCE!$E$37</f>
        <v>0.59279999999999999</v>
      </c>
      <c r="Y14" s="21">
        <f t="shared" si="5"/>
        <v>0.38235599999999997</v>
      </c>
      <c r="AA14" s="29">
        <v>11</v>
      </c>
      <c r="AB14" s="30">
        <v>44441</v>
      </c>
      <c r="AC14" s="31" t="s">
        <v>66</v>
      </c>
      <c r="AD14" s="32">
        <v>24945.25</v>
      </c>
      <c r="AE14" s="20" t="s">
        <v>32</v>
      </c>
      <c r="AF14" s="33" t="s">
        <v>34</v>
      </c>
      <c r="AG14" s="20">
        <v>702</v>
      </c>
      <c r="AH14" s="20"/>
      <c r="AI14" s="34">
        <f>[2]REFERENCE!$E$38</f>
        <v>9.9600000000000001E-3</v>
      </c>
      <c r="AJ14" s="21">
        <f t="shared" si="0"/>
        <v>0.17441519238</v>
      </c>
      <c r="AL14" s="101">
        <v>11</v>
      </c>
      <c r="AM14" s="102">
        <v>44428</v>
      </c>
      <c r="AN14" s="103" t="s">
        <v>53</v>
      </c>
      <c r="AO14" s="104">
        <v>24452</v>
      </c>
      <c r="AP14" s="105" t="s">
        <v>34</v>
      </c>
      <c r="AQ14" s="105" t="s">
        <v>35</v>
      </c>
      <c r="AR14" s="27" t="s">
        <v>114</v>
      </c>
      <c r="AS14" s="107">
        <v>9036</v>
      </c>
      <c r="AT14" s="108">
        <f t="shared" si="6"/>
        <v>16734.672000000002</v>
      </c>
      <c r="AU14" s="107">
        <f>[2]REFERENCE!$E$39</f>
        <v>8.3999999999999995E-3</v>
      </c>
      <c r="AV14" s="109">
        <f t="shared" si="1"/>
        <v>3.4372480778496004</v>
      </c>
      <c r="AX14" s="16"/>
      <c r="AY14" s="43"/>
      <c r="AZ14" s="20"/>
      <c r="BA14" s="44"/>
      <c r="BB14" s="20"/>
      <c r="BC14" s="20"/>
      <c r="BD14" s="35"/>
      <c r="BE14" s="20"/>
      <c r="BF14" s="41"/>
    </row>
    <row r="15" spans="1:112" ht="16.5" thickBot="1" x14ac:dyDescent="0.4">
      <c r="A15" s="16">
        <v>12</v>
      </c>
      <c r="B15" s="45">
        <v>44440</v>
      </c>
      <c r="C15" s="44"/>
      <c r="D15" s="58">
        <v>6251.7</v>
      </c>
      <c r="E15" s="20" t="s">
        <v>41</v>
      </c>
      <c r="F15" s="20" t="s">
        <v>30</v>
      </c>
      <c r="G15" s="20">
        <v>197</v>
      </c>
      <c r="H15" s="20">
        <f t="shared" si="3"/>
        <v>197</v>
      </c>
      <c r="I15" s="20"/>
      <c r="J15" s="20">
        <v>1</v>
      </c>
      <c r="K15" s="20">
        <f>[2]REFERENCE!$E$37</f>
        <v>0.59279999999999999</v>
      </c>
      <c r="L15" s="21">
        <f t="shared" si="4"/>
        <v>0.1167816</v>
      </c>
      <c r="N15" s="16">
        <v>12</v>
      </c>
      <c r="O15" s="30">
        <v>44433</v>
      </c>
      <c r="P15" s="38" t="s">
        <v>39</v>
      </c>
      <c r="Q15" s="32">
        <v>25000</v>
      </c>
      <c r="R15" s="20" t="s">
        <v>32</v>
      </c>
      <c r="S15" s="33" t="s">
        <v>71</v>
      </c>
      <c r="T15" s="20">
        <v>645</v>
      </c>
      <c r="U15" s="27" t="s">
        <v>113</v>
      </c>
      <c r="V15" s="20"/>
      <c r="W15" s="20" t="s">
        <v>33</v>
      </c>
      <c r="X15" s="20">
        <f>[2]REFERENCE!$E$37</f>
        <v>0.59279999999999999</v>
      </c>
      <c r="Y15" s="21">
        <f t="shared" si="5"/>
        <v>0.38235599999999997</v>
      </c>
      <c r="AA15" s="29">
        <v>12</v>
      </c>
      <c r="AB15" s="30">
        <v>44454</v>
      </c>
      <c r="AC15" s="31" t="s">
        <v>44</v>
      </c>
      <c r="AD15" s="32">
        <v>24948</v>
      </c>
      <c r="AE15" s="20" t="s">
        <v>32</v>
      </c>
      <c r="AF15" s="33" t="s">
        <v>34</v>
      </c>
      <c r="AG15" s="20">
        <v>702</v>
      </c>
      <c r="AH15" s="20"/>
      <c r="AI15" s="34">
        <f>[2]REFERENCE!$E$38</f>
        <v>9.9600000000000001E-3</v>
      </c>
      <c r="AJ15" s="21">
        <f t="shared" si="0"/>
        <v>0.17443442016000002</v>
      </c>
      <c r="AL15" s="125">
        <v>12</v>
      </c>
      <c r="AM15" s="91">
        <v>44433</v>
      </c>
      <c r="AN15" s="126" t="s">
        <v>39</v>
      </c>
      <c r="AO15" s="93">
        <v>25000</v>
      </c>
      <c r="AP15" s="95" t="s">
        <v>71</v>
      </c>
      <c r="AQ15" s="95" t="s">
        <v>40</v>
      </c>
      <c r="AR15" s="27" t="s">
        <v>114</v>
      </c>
      <c r="AS15" s="127">
        <v>2701</v>
      </c>
      <c r="AT15" s="128">
        <f t="shared" si="6"/>
        <v>5002.2520000000004</v>
      </c>
      <c r="AU15" s="127">
        <f>[2]REFERENCE!$E$39</f>
        <v>8.3999999999999995E-3</v>
      </c>
      <c r="AV15" s="129">
        <f t="shared" si="1"/>
        <v>1.0504729200000003</v>
      </c>
      <c r="AX15" s="16"/>
      <c r="AY15" s="43"/>
      <c r="AZ15" s="20"/>
      <c r="BA15" s="44"/>
      <c r="BB15" s="20"/>
      <c r="BC15" s="20"/>
      <c r="BD15" s="35"/>
      <c r="BE15" s="20"/>
      <c r="BF15" s="41"/>
    </row>
    <row r="16" spans="1:112" ht="16.5" thickBot="1" x14ac:dyDescent="0.4">
      <c r="A16" s="16">
        <v>13</v>
      </c>
      <c r="B16" s="45">
        <v>44470</v>
      </c>
      <c r="C16" s="44" t="s">
        <v>28</v>
      </c>
      <c r="D16" s="19">
        <v>55418.310000000005</v>
      </c>
      <c r="E16" s="20" t="s">
        <v>29</v>
      </c>
      <c r="F16" s="20" t="s">
        <v>41</v>
      </c>
      <c r="G16" s="20">
        <v>40</v>
      </c>
      <c r="H16" s="20">
        <f t="shared" si="3"/>
        <v>200</v>
      </c>
      <c r="I16" s="20"/>
      <c r="J16" s="20">
        <v>5</v>
      </c>
      <c r="K16" s="20">
        <f>[2]REFERENCE!$E$37</f>
        <v>0.59279999999999999</v>
      </c>
      <c r="L16" s="21">
        <f t="shared" si="4"/>
        <v>0.11856</v>
      </c>
      <c r="N16" s="16">
        <v>13</v>
      </c>
      <c r="O16" s="30">
        <v>44433</v>
      </c>
      <c r="P16" s="31" t="s">
        <v>39</v>
      </c>
      <c r="Q16" s="32">
        <v>25000</v>
      </c>
      <c r="R16" s="20" t="s">
        <v>32</v>
      </c>
      <c r="S16" s="33" t="s">
        <v>71</v>
      </c>
      <c r="T16" s="20">
        <v>645</v>
      </c>
      <c r="U16" s="27" t="s">
        <v>113</v>
      </c>
      <c r="V16" s="20"/>
      <c r="W16" s="20" t="s">
        <v>33</v>
      </c>
      <c r="X16" s="20">
        <f>[2]REFERENCE!$E$37</f>
        <v>0.59279999999999999</v>
      </c>
      <c r="Y16" s="21">
        <f t="shared" si="5"/>
        <v>0.38235599999999997</v>
      </c>
      <c r="AA16" s="29">
        <v>13</v>
      </c>
      <c r="AB16" s="30">
        <v>44473</v>
      </c>
      <c r="AC16" s="31" t="s">
        <v>46</v>
      </c>
      <c r="AD16" s="32">
        <v>24452</v>
      </c>
      <c r="AE16" s="20" t="s">
        <v>32</v>
      </c>
      <c r="AF16" s="33" t="s">
        <v>34</v>
      </c>
      <c r="AG16" s="20">
        <v>702</v>
      </c>
      <c r="AH16" s="20"/>
      <c r="AI16" s="34">
        <f>[2]REFERENCE!$E$38</f>
        <v>9.9600000000000001E-3</v>
      </c>
      <c r="AJ16" s="21">
        <f t="shared" si="0"/>
        <v>0.17096642783999999</v>
      </c>
      <c r="AL16" s="73">
        <v>13</v>
      </c>
      <c r="AM16" s="74">
        <v>44433</v>
      </c>
      <c r="AN16" s="83" t="s">
        <v>39</v>
      </c>
      <c r="AO16" s="76">
        <v>25000</v>
      </c>
      <c r="AP16" s="82" t="s">
        <v>71</v>
      </c>
      <c r="AQ16" s="130" t="s">
        <v>40</v>
      </c>
      <c r="AR16" s="27" t="s">
        <v>114</v>
      </c>
      <c r="AS16" s="51">
        <v>2701</v>
      </c>
      <c r="AT16" s="131">
        <f t="shared" si="6"/>
        <v>5002.2520000000004</v>
      </c>
      <c r="AU16" s="85">
        <f>[2]REFERENCE!$E$39</f>
        <v>8.3999999999999995E-3</v>
      </c>
      <c r="AV16" s="132">
        <f t="shared" si="1"/>
        <v>1.0504729200000003</v>
      </c>
      <c r="AX16" s="16"/>
      <c r="AY16" s="43"/>
      <c r="AZ16" s="20"/>
      <c r="BA16" s="44"/>
      <c r="BB16" s="20"/>
      <c r="BC16" s="20"/>
      <c r="BD16" s="35"/>
      <c r="BE16" s="20"/>
      <c r="BF16" s="41"/>
    </row>
    <row r="17" spans="1:58" ht="16.5" thickBot="1" x14ac:dyDescent="0.4">
      <c r="A17" s="16">
        <v>14</v>
      </c>
      <c r="B17" s="45">
        <v>44470</v>
      </c>
      <c r="C17" s="44"/>
      <c r="D17" s="19">
        <v>21218.59</v>
      </c>
      <c r="E17" s="20" t="s">
        <v>29</v>
      </c>
      <c r="F17" s="20" t="s">
        <v>30</v>
      </c>
      <c r="G17" s="20">
        <v>236</v>
      </c>
      <c r="H17" s="20">
        <f t="shared" si="3"/>
        <v>472</v>
      </c>
      <c r="I17" s="20"/>
      <c r="J17" s="20">
        <v>2</v>
      </c>
      <c r="K17" s="20">
        <f>[2]REFERENCE!$E$37</f>
        <v>0.59279999999999999</v>
      </c>
      <c r="L17" s="21">
        <f t="shared" si="4"/>
        <v>0.27980159999999998</v>
      </c>
      <c r="N17" s="16">
        <v>14</v>
      </c>
      <c r="O17" s="30">
        <v>44439</v>
      </c>
      <c r="P17" s="31" t="s">
        <v>51</v>
      </c>
      <c r="Q17" s="32">
        <v>10000</v>
      </c>
      <c r="R17" s="20" t="s">
        <v>32</v>
      </c>
      <c r="S17" s="33" t="s">
        <v>30</v>
      </c>
      <c r="T17" s="20">
        <v>645</v>
      </c>
      <c r="U17" s="27" t="s">
        <v>113</v>
      </c>
      <c r="V17" s="20"/>
      <c r="W17" s="20" t="s">
        <v>33</v>
      </c>
      <c r="X17" s="20">
        <f>[2]REFERENCE!$E$37</f>
        <v>0.59279999999999999</v>
      </c>
      <c r="Y17" s="21">
        <f t="shared" si="5"/>
        <v>0.38235599999999997</v>
      </c>
      <c r="AA17" s="29">
        <v>14</v>
      </c>
      <c r="AB17" s="30">
        <v>44477</v>
      </c>
      <c r="AC17" s="31" t="s">
        <v>39</v>
      </c>
      <c r="AD17" s="32">
        <v>25000</v>
      </c>
      <c r="AE17" s="20" t="s">
        <v>32</v>
      </c>
      <c r="AF17" s="33" t="s">
        <v>34</v>
      </c>
      <c r="AG17" s="20">
        <v>702</v>
      </c>
      <c r="AH17" s="20"/>
      <c r="AI17" s="34">
        <f>[2]REFERENCE!$E$38</f>
        <v>9.9600000000000001E-3</v>
      </c>
      <c r="AJ17" s="21">
        <f t="shared" si="0"/>
        <v>0.17479800000000001</v>
      </c>
      <c r="AL17" s="23">
        <v>14</v>
      </c>
      <c r="AM17" s="24">
        <v>44439</v>
      </c>
      <c r="AN17" s="25" t="s">
        <v>51</v>
      </c>
      <c r="AO17" s="26">
        <v>10000</v>
      </c>
      <c r="AP17" s="88" t="s">
        <v>34</v>
      </c>
      <c r="AQ17" s="88" t="s">
        <v>43</v>
      </c>
      <c r="AR17" s="27" t="s">
        <v>115</v>
      </c>
      <c r="AS17" s="98">
        <v>7082</v>
      </c>
      <c r="AT17" s="99">
        <f t="shared" si="6"/>
        <v>13115.864000000001</v>
      </c>
      <c r="AU17" s="98">
        <f>[2]REFERENCE!$E$39</f>
        <v>8.3999999999999995E-3</v>
      </c>
      <c r="AV17" s="100">
        <f t="shared" si="1"/>
        <v>1.1017325760000001</v>
      </c>
      <c r="AX17" s="16"/>
      <c r="AY17" s="43"/>
      <c r="AZ17" s="20"/>
      <c r="BA17" s="44"/>
      <c r="BB17" s="20"/>
      <c r="BC17" s="20"/>
      <c r="BD17" s="35"/>
      <c r="BE17" s="20"/>
      <c r="BF17" s="41"/>
    </row>
    <row r="18" spans="1:58" ht="16.5" thickBot="1" x14ac:dyDescent="0.4">
      <c r="A18" s="16">
        <v>15</v>
      </c>
      <c r="B18" s="45">
        <v>44470</v>
      </c>
      <c r="C18" s="44"/>
      <c r="D18" s="19">
        <v>27800.01</v>
      </c>
      <c r="E18" s="20" t="s">
        <v>38</v>
      </c>
      <c r="F18" s="20" t="s">
        <v>41</v>
      </c>
      <c r="G18" s="20">
        <v>164</v>
      </c>
      <c r="H18" s="20">
        <f t="shared" si="3"/>
        <v>328</v>
      </c>
      <c r="I18" s="20"/>
      <c r="J18" s="20">
        <v>2</v>
      </c>
      <c r="K18" s="20">
        <f>[2]REFERENCE!$E$37</f>
        <v>0.59279999999999999</v>
      </c>
      <c r="L18" s="21">
        <f t="shared" si="4"/>
        <v>0.19443840000000001</v>
      </c>
      <c r="N18" s="16">
        <v>15</v>
      </c>
      <c r="O18" s="30">
        <v>44441</v>
      </c>
      <c r="P18" s="31" t="s">
        <v>66</v>
      </c>
      <c r="Q18" s="32">
        <v>24945.25</v>
      </c>
      <c r="R18" s="20" t="s">
        <v>32</v>
      </c>
      <c r="S18" s="33" t="s">
        <v>30</v>
      </c>
      <c r="T18" s="20">
        <v>645</v>
      </c>
      <c r="U18" s="27" t="s">
        <v>113</v>
      </c>
      <c r="V18" s="20"/>
      <c r="W18" s="20" t="s">
        <v>33</v>
      </c>
      <c r="X18" s="20">
        <f>[2]REFERENCE!$E$37</f>
        <v>0.59279999999999999</v>
      </c>
      <c r="Y18" s="21">
        <f t="shared" si="5"/>
        <v>0.38235599999999997</v>
      </c>
      <c r="AA18" s="29">
        <v>15</v>
      </c>
      <c r="AB18" s="30">
        <v>44480</v>
      </c>
      <c r="AC18" s="46" t="s">
        <v>31</v>
      </c>
      <c r="AD18" s="32">
        <v>25000</v>
      </c>
      <c r="AE18" s="20" t="s">
        <v>32</v>
      </c>
      <c r="AF18" s="33" t="s">
        <v>34</v>
      </c>
      <c r="AG18" s="20">
        <v>702</v>
      </c>
      <c r="AH18" s="20"/>
      <c r="AI18" s="34">
        <f>[2]REFERENCE!$E$38</f>
        <v>9.9600000000000001E-3</v>
      </c>
      <c r="AJ18" s="21">
        <f t="shared" si="0"/>
        <v>0.17479800000000001</v>
      </c>
      <c r="AL18" s="16">
        <v>15</v>
      </c>
      <c r="AM18" s="30">
        <v>44441</v>
      </c>
      <c r="AN18" s="31" t="s">
        <v>66</v>
      </c>
      <c r="AO18" s="32">
        <v>24945.25</v>
      </c>
      <c r="AP18" s="33" t="s">
        <v>34</v>
      </c>
      <c r="AQ18" s="33" t="s">
        <v>35</v>
      </c>
      <c r="AR18" s="27" t="s">
        <v>114</v>
      </c>
      <c r="AS18" s="35">
        <v>9036</v>
      </c>
      <c r="AT18" s="36">
        <f t="shared" si="6"/>
        <v>16734.672000000002</v>
      </c>
      <c r="AU18" s="35">
        <f>[2]REFERENCE!$E$39</f>
        <v>8.3999999999999995E-3</v>
      </c>
      <c r="AV18" s="37">
        <f t="shared" si="1"/>
        <v>3.5065848443472003</v>
      </c>
      <c r="AX18" s="16"/>
      <c r="AY18" s="43"/>
      <c r="AZ18" s="20"/>
      <c r="BA18" s="44"/>
      <c r="BB18" s="20"/>
      <c r="BC18" s="20"/>
      <c r="BD18" s="35"/>
      <c r="BE18" s="20"/>
      <c r="BF18" s="41"/>
    </row>
    <row r="19" spans="1:58" ht="16.5" thickBot="1" x14ac:dyDescent="0.4">
      <c r="A19" s="16">
        <v>16</v>
      </c>
      <c r="B19" s="55">
        <v>44501</v>
      </c>
      <c r="C19" s="44" t="s">
        <v>28</v>
      </c>
      <c r="D19" s="19">
        <v>73236.22</v>
      </c>
      <c r="E19" s="20" t="s">
        <v>29</v>
      </c>
      <c r="F19" s="20" t="s">
        <v>41</v>
      </c>
      <c r="G19" s="20">
        <v>40</v>
      </c>
      <c r="H19" s="20">
        <f t="shared" si="3"/>
        <v>280</v>
      </c>
      <c r="I19" s="20"/>
      <c r="J19" s="20">
        <v>7</v>
      </c>
      <c r="K19" s="20">
        <f>[2]REFERENCE!$E$37</f>
        <v>0.59279999999999999</v>
      </c>
      <c r="L19" s="21">
        <f t="shared" si="4"/>
        <v>0.16598400000000002</v>
      </c>
      <c r="N19" s="16">
        <v>16</v>
      </c>
      <c r="O19" s="30">
        <v>44454</v>
      </c>
      <c r="P19" s="31" t="s">
        <v>44</v>
      </c>
      <c r="Q19" s="32">
        <v>24948</v>
      </c>
      <c r="R19" s="20" t="s">
        <v>32</v>
      </c>
      <c r="S19" s="33" t="s">
        <v>30</v>
      </c>
      <c r="T19" s="20">
        <v>645</v>
      </c>
      <c r="U19" s="27" t="s">
        <v>113</v>
      </c>
      <c r="V19" s="20"/>
      <c r="W19" s="20" t="s">
        <v>33</v>
      </c>
      <c r="X19" s="20">
        <f>[2]REFERENCE!$E$37</f>
        <v>0.59279999999999999</v>
      </c>
      <c r="Y19" s="21">
        <f t="shared" si="5"/>
        <v>0.38235599999999997</v>
      </c>
      <c r="AA19" s="29">
        <v>16</v>
      </c>
      <c r="AB19" s="30">
        <v>44485</v>
      </c>
      <c r="AC19" s="31" t="s">
        <v>47</v>
      </c>
      <c r="AD19" s="32">
        <v>24946.9</v>
      </c>
      <c r="AE19" s="20" t="s">
        <v>32</v>
      </c>
      <c r="AF19" s="33" t="s">
        <v>34</v>
      </c>
      <c r="AG19" s="20">
        <v>702</v>
      </c>
      <c r="AH19" s="20"/>
      <c r="AI19" s="34">
        <f>[2]REFERENCE!$E$38</f>
        <v>9.9600000000000001E-3</v>
      </c>
      <c r="AJ19" s="21">
        <f t="shared" si="0"/>
        <v>0.174426729048</v>
      </c>
      <c r="AL19" s="101">
        <v>16</v>
      </c>
      <c r="AM19" s="102">
        <v>44454</v>
      </c>
      <c r="AN19" s="103" t="s">
        <v>44</v>
      </c>
      <c r="AO19" s="104">
        <v>24948</v>
      </c>
      <c r="AP19" s="105" t="s">
        <v>34</v>
      </c>
      <c r="AQ19" s="105" t="s">
        <v>35</v>
      </c>
      <c r="AR19" s="27" t="s">
        <v>114</v>
      </c>
      <c r="AS19" s="107">
        <v>9036</v>
      </c>
      <c r="AT19" s="108">
        <f t="shared" si="6"/>
        <v>16734.672000000002</v>
      </c>
      <c r="AU19" s="107">
        <f>[2]REFERENCE!$E$39</f>
        <v>8.3999999999999995E-3</v>
      </c>
      <c r="AV19" s="109">
        <f t="shared" si="1"/>
        <v>3.5069714152704003</v>
      </c>
      <c r="AX19" s="16"/>
      <c r="AY19" s="43"/>
      <c r="AZ19" s="20"/>
      <c r="BA19" s="44"/>
      <c r="BB19" s="20"/>
      <c r="BC19" s="20"/>
      <c r="BD19" s="35"/>
      <c r="BE19" s="20"/>
      <c r="BF19" s="41"/>
    </row>
    <row r="20" spans="1:58" ht="16.5" thickBot="1" x14ac:dyDescent="0.4">
      <c r="A20" s="16">
        <v>17</v>
      </c>
      <c r="B20" s="45">
        <v>44531</v>
      </c>
      <c r="C20" s="52" t="s">
        <v>28</v>
      </c>
      <c r="D20" s="19">
        <v>61340.4</v>
      </c>
      <c r="E20" s="20" t="s">
        <v>29</v>
      </c>
      <c r="F20" s="20" t="s">
        <v>41</v>
      </c>
      <c r="G20" s="20">
        <v>40</v>
      </c>
      <c r="H20" s="20">
        <f t="shared" si="3"/>
        <v>240</v>
      </c>
      <c r="I20" s="20"/>
      <c r="J20" s="53">
        <v>6</v>
      </c>
      <c r="K20" s="20">
        <f>[2]REFERENCE!$E$37</f>
        <v>0.59279999999999999</v>
      </c>
      <c r="L20" s="21">
        <f t="shared" si="4"/>
        <v>0.14227199999999998</v>
      </c>
      <c r="N20" s="16">
        <v>17</v>
      </c>
      <c r="O20" s="30">
        <v>44462</v>
      </c>
      <c r="P20" s="31" t="s">
        <v>39</v>
      </c>
      <c r="Q20" s="32">
        <v>25000</v>
      </c>
      <c r="R20" s="20" t="s">
        <v>32</v>
      </c>
      <c r="S20" s="33" t="s">
        <v>71</v>
      </c>
      <c r="T20" s="20">
        <v>645</v>
      </c>
      <c r="U20" s="27" t="s">
        <v>113</v>
      </c>
      <c r="V20" s="20"/>
      <c r="W20" s="20" t="s">
        <v>33</v>
      </c>
      <c r="X20" s="20">
        <f>[2]REFERENCE!$E$37</f>
        <v>0.59279999999999999</v>
      </c>
      <c r="Y20" s="21">
        <f t="shared" si="5"/>
        <v>0.38235599999999997</v>
      </c>
      <c r="AA20" s="29">
        <v>17</v>
      </c>
      <c r="AB20" s="30">
        <v>44485</v>
      </c>
      <c r="AC20" s="31" t="s">
        <v>47</v>
      </c>
      <c r="AD20" s="32">
        <v>24946.9</v>
      </c>
      <c r="AE20" s="20" t="s">
        <v>32</v>
      </c>
      <c r="AF20" s="33" t="s">
        <v>34</v>
      </c>
      <c r="AG20" s="20">
        <v>702</v>
      </c>
      <c r="AH20" s="20"/>
      <c r="AI20" s="34">
        <f>[2]REFERENCE!$E$38</f>
        <v>9.9600000000000001E-3</v>
      </c>
      <c r="AJ20" s="21">
        <f t="shared" si="0"/>
        <v>0.174426729048</v>
      </c>
      <c r="AL20" s="125">
        <v>17</v>
      </c>
      <c r="AM20" s="91">
        <v>44462</v>
      </c>
      <c r="AN20" s="92" t="s">
        <v>39</v>
      </c>
      <c r="AO20" s="93">
        <v>25000</v>
      </c>
      <c r="AP20" s="95" t="s">
        <v>71</v>
      </c>
      <c r="AQ20" s="95" t="s">
        <v>40</v>
      </c>
      <c r="AR20" s="27" t="s">
        <v>114</v>
      </c>
      <c r="AS20" s="127">
        <v>2701</v>
      </c>
      <c r="AT20" s="128">
        <f t="shared" si="6"/>
        <v>5002.2520000000004</v>
      </c>
      <c r="AU20" s="127">
        <f>[2]REFERENCE!$E$39</f>
        <v>8.3999999999999995E-3</v>
      </c>
      <c r="AV20" s="129">
        <f t="shared" si="1"/>
        <v>1.0504729200000003</v>
      </c>
      <c r="AX20" s="16"/>
      <c r="AY20" s="43"/>
      <c r="AZ20" s="20"/>
      <c r="BA20" s="44"/>
      <c r="BB20" s="20"/>
      <c r="BC20" s="20"/>
      <c r="BD20" s="35"/>
      <c r="BE20" s="20"/>
      <c r="BF20" s="41"/>
    </row>
    <row r="21" spans="1:58" ht="16.5" thickBot="1" x14ac:dyDescent="0.4">
      <c r="A21" s="16">
        <v>18</v>
      </c>
      <c r="B21" s="45">
        <v>44531</v>
      </c>
      <c r="C21" s="52"/>
      <c r="D21" s="19">
        <v>51270.469999999994</v>
      </c>
      <c r="E21" s="20" t="s">
        <v>29</v>
      </c>
      <c r="F21" s="20" t="s">
        <v>30</v>
      </c>
      <c r="G21" s="20">
        <v>236</v>
      </c>
      <c r="H21" s="20">
        <f t="shared" si="3"/>
        <v>1180</v>
      </c>
      <c r="I21" s="20"/>
      <c r="J21" s="53">
        <v>5</v>
      </c>
      <c r="K21" s="20">
        <f>[2]REFERENCE!$E$37</f>
        <v>0.59279999999999999</v>
      </c>
      <c r="L21" s="21">
        <f t="shared" si="4"/>
        <v>0.69950400000000001</v>
      </c>
      <c r="N21" s="16">
        <v>18</v>
      </c>
      <c r="O21" s="30">
        <v>44462</v>
      </c>
      <c r="P21" s="31" t="s">
        <v>39</v>
      </c>
      <c r="Q21" s="32">
        <v>23750</v>
      </c>
      <c r="R21" s="20" t="s">
        <v>32</v>
      </c>
      <c r="S21" s="33" t="s">
        <v>71</v>
      </c>
      <c r="T21" s="20">
        <v>645</v>
      </c>
      <c r="U21" s="27" t="s">
        <v>113</v>
      </c>
      <c r="V21" s="20"/>
      <c r="W21" s="20" t="s">
        <v>33</v>
      </c>
      <c r="X21" s="20">
        <f>[2]REFERENCE!$E$37</f>
        <v>0.59279999999999999</v>
      </c>
      <c r="Y21" s="21">
        <f t="shared" si="5"/>
        <v>0.38235599999999997</v>
      </c>
      <c r="AA21" s="29">
        <v>18</v>
      </c>
      <c r="AB21" s="30">
        <v>44498</v>
      </c>
      <c r="AC21" s="31" t="s">
        <v>46</v>
      </c>
      <c r="AD21" s="32">
        <v>24948</v>
      </c>
      <c r="AE21" s="20" t="s">
        <v>32</v>
      </c>
      <c r="AF21" s="33" t="s">
        <v>34</v>
      </c>
      <c r="AG21" s="20">
        <v>702</v>
      </c>
      <c r="AH21" s="20"/>
      <c r="AI21" s="34">
        <f>[2]REFERENCE!$E$38</f>
        <v>9.9600000000000001E-3</v>
      </c>
      <c r="AJ21" s="21">
        <f t="shared" si="0"/>
        <v>0.17443442016000002</v>
      </c>
      <c r="AL21" s="16">
        <v>18</v>
      </c>
      <c r="AM21" s="30">
        <v>44462</v>
      </c>
      <c r="AN21" s="31" t="s">
        <v>39</v>
      </c>
      <c r="AO21" s="32">
        <v>23750</v>
      </c>
      <c r="AP21" s="82" t="s">
        <v>71</v>
      </c>
      <c r="AQ21" s="47" t="s">
        <v>40</v>
      </c>
      <c r="AR21" s="27" t="s">
        <v>114</v>
      </c>
      <c r="AS21" s="49">
        <v>2701</v>
      </c>
      <c r="AT21" s="36">
        <f t="shared" si="6"/>
        <v>5002.2520000000004</v>
      </c>
      <c r="AU21" s="35">
        <f>[2]REFERENCE!$E$39</f>
        <v>8.3999999999999995E-3</v>
      </c>
      <c r="AV21" s="37">
        <f t="shared" si="1"/>
        <v>0.99794927400000011</v>
      </c>
      <c r="AX21" s="16"/>
      <c r="AY21" s="43"/>
      <c r="AZ21" s="20"/>
      <c r="BA21" s="44"/>
      <c r="BB21" s="20"/>
      <c r="BC21" s="20"/>
      <c r="BD21" s="35"/>
      <c r="BE21" s="20"/>
      <c r="BF21" s="41"/>
    </row>
    <row r="22" spans="1:58" ht="16.5" thickBot="1" x14ac:dyDescent="0.4">
      <c r="A22" s="16">
        <v>19</v>
      </c>
      <c r="B22" s="45">
        <v>44531</v>
      </c>
      <c r="C22" s="52"/>
      <c r="D22" s="19">
        <v>16650</v>
      </c>
      <c r="E22" s="20" t="s">
        <v>38</v>
      </c>
      <c r="F22" s="20" t="s">
        <v>41</v>
      </c>
      <c r="G22" s="20">
        <v>164</v>
      </c>
      <c r="H22" s="20">
        <f t="shared" si="3"/>
        <v>164</v>
      </c>
      <c r="I22" s="20"/>
      <c r="J22" s="53">
        <v>1</v>
      </c>
      <c r="K22" s="20">
        <f>[2]REFERENCE!$E$37</f>
        <v>0.59279999999999999</v>
      </c>
      <c r="L22" s="21">
        <f t="shared" si="4"/>
        <v>9.7219200000000006E-2</v>
      </c>
      <c r="N22" s="16">
        <v>19</v>
      </c>
      <c r="O22" s="30">
        <v>44466</v>
      </c>
      <c r="P22" s="38" t="s">
        <v>39</v>
      </c>
      <c r="Q22" s="32">
        <v>25000</v>
      </c>
      <c r="R22" s="20" t="s">
        <v>32</v>
      </c>
      <c r="S22" s="33" t="s">
        <v>71</v>
      </c>
      <c r="T22" s="20">
        <v>645</v>
      </c>
      <c r="U22" s="27" t="s">
        <v>113</v>
      </c>
      <c r="V22" s="20"/>
      <c r="W22" s="20" t="s">
        <v>33</v>
      </c>
      <c r="X22" s="20">
        <f>[2]REFERENCE!$E$37</f>
        <v>0.59279999999999999</v>
      </c>
      <c r="Y22" s="21">
        <f t="shared" si="5"/>
        <v>0.38235599999999997</v>
      </c>
      <c r="AA22" s="29">
        <v>19</v>
      </c>
      <c r="AB22" s="30">
        <v>44498</v>
      </c>
      <c r="AC22" s="46" t="s">
        <v>39</v>
      </c>
      <c r="AD22" s="32">
        <v>25000</v>
      </c>
      <c r="AE22" s="20" t="s">
        <v>32</v>
      </c>
      <c r="AF22" s="33" t="s">
        <v>34</v>
      </c>
      <c r="AG22" s="20">
        <v>702</v>
      </c>
      <c r="AH22" s="20"/>
      <c r="AI22" s="34">
        <f>[2]REFERENCE!$E$38</f>
        <v>9.9600000000000001E-3</v>
      </c>
      <c r="AJ22" s="21">
        <f t="shared" si="0"/>
        <v>0.17479800000000001</v>
      </c>
      <c r="AL22" s="73">
        <v>19</v>
      </c>
      <c r="AM22" s="74">
        <v>44466</v>
      </c>
      <c r="AN22" s="75" t="s">
        <v>39</v>
      </c>
      <c r="AO22" s="76">
        <v>25000</v>
      </c>
      <c r="AP22" s="84" t="s">
        <v>71</v>
      </c>
      <c r="AQ22" s="84" t="s">
        <v>40</v>
      </c>
      <c r="AR22" s="27" t="s">
        <v>114</v>
      </c>
      <c r="AS22" s="85">
        <v>2701</v>
      </c>
      <c r="AT22" s="131">
        <f t="shared" si="6"/>
        <v>5002.2520000000004</v>
      </c>
      <c r="AU22" s="85">
        <f>[2]REFERENCE!$E$39</f>
        <v>8.3999999999999995E-3</v>
      </c>
      <c r="AV22" s="132">
        <f t="shared" si="1"/>
        <v>1.0504729200000003</v>
      </c>
      <c r="AX22" s="16"/>
      <c r="AY22" s="43"/>
      <c r="AZ22" s="20"/>
      <c r="BA22" s="44"/>
      <c r="BB22" s="20"/>
      <c r="BC22" s="20"/>
      <c r="BD22" s="35"/>
      <c r="BE22" s="20"/>
      <c r="BF22" s="41"/>
    </row>
    <row r="23" spans="1:58" ht="16.5" thickBot="1" x14ac:dyDescent="0.4">
      <c r="A23" s="16">
        <v>20</v>
      </c>
      <c r="B23" s="45">
        <v>44531</v>
      </c>
      <c r="C23" s="52"/>
      <c r="D23" s="19">
        <v>57973.210000000006</v>
      </c>
      <c r="E23" s="20" t="s">
        <v>38</v>
      </c>
      <c r="F23" s="20" t="s">
        <v>30</v>
      </c>
      <c r="G23" s="20">
        <v>358</v>
      </c>
      <c r="H23" s="20">
        <f t="shared" si="3"/>
        <v>1432</v>
      </c>
      <c r="I23" s="20"/>
      <c r="J23" s="53">
        <v>4</v>
      </c>
      <c r="K23" s="20">
        <f>[2]REFERENCE!$E$37</f>
        <v>0.59279999999999999</v>
      </c>
      <c r="L23" s="21">
        <f t="shared" si="4"/>
        <v>0.84888960000000002</v>
      </c>
      <c r="N23" s="16">
        <v>20</v>
      </c>
      <c r="O23" s="43">
        <v>44456</v>
      </c>
      <c r="P23" s="40" t="s">
        <v>67</v>
      </c>
      <c r="Q23" s="133">
        <v>50</v>
      </c>
      <c r="R23" s="20" t="s">
        <v>32</v>
      </c>
      <c r="S23" s="33" t="s">
        <v>30</v>
      </c>
      <c r="T23" s="20">
        <v>645</v>
      </c>
      <c r="U23" s="27" t="s">
        <v>113</v>
      </c>
      <c r="V23" s="20"/>
      <c r="W23" s="20" t="s">
        <v>33</v>
      </c>
      <c r="X23" s="20">
        <f>[2]REFERENCE!$E$37</f>
        <v>0.59279999999999999</v>
      </c>
      <c r="Y23" s="21">
        <f t="shared" si="5"/>
        <v>0.38235599999999997</v>
      </c>
      <c r="AA23" s="29">
        <v>20</v>
      </c>
      <c r="AB23" s="30">
        <v>44498</v>
      </c>
      <c r="AC23" s="31" t="s">
        <v>39</v>
      </c>
      <c r="AD23" s="32">
        <v>25000</v>
      </c>
      <c r="AE23" s="20" t="s">
        <v>32</v>
      </c>
      <c r="AF23" s="33" t="s">
        <v>34</v>
      </c>
      <c r="AG23" s="20">
        <v>702</v>
      </c>
      <c r="AH23" s="20"/>
      <c r="AI23" s="34">
        <f>[2]REFERENCE!$E$38</f>
        <v>9.9600000000000001E-3</v>
      </c>
      <c r="AJ23" s="21">
        <f t="shared" si="0"/>
        <v>0.17479800000000001</v>
      </c>
      <c r="AL23" s="23">
        <v>20</v>
      </c>
      <c r="AM23" s="24">
        <v>44473</v>
      </c>
      <c r="AN23" s="134" t="s">
        <v>46</v>
      </c>
      <c r="AO23" s="26">
        <v>24452</v>
      </c>
      <c r="AP23" s="88" t="s">
        <v>34</v>
      </c>
      <c r="AQ23" s="88" t="s">
        <v>35</v>
      </c>
      <c r="AR23" s="27" t="s">
        <v>114</v>
      </c>
      <c r="AS23" s="98">
        <v>9036</v>
      </c>
      <c r="AT23" s="99">
        <f t="shared" si="6"/>
        <v>16734.672000000002</v>
      </c>
      <c r="AU23" s="98">
        <f>[2]REFERENCE!$E$39</f>
        <v>8.3999999999999995E-3</v>
      </c>
      <c r="AV23" s="100">
        <f t="shared" si="1"/>
        <v>3.4372480778496004</v>
      </c>
      <c r="AX23" s="16"/>
      <c r="AY23" s="43"/>
      <c r="AZ23" s="20"/>
      <c r="BA23" s="44"/>
      <c r="BB23" s="20"/>
      <c r="BC23" s="20"/>
      <c r="BD23" s="35"/>
      <c r="BE23" s="20"/>
      <c r="BF23" s="41"/>
    </row>
    <row r="24" spans="1:58" ht="16.5" thickBot="1" x14ac:dyDescent="0.4">
      <c r="A24" s="16">
        <v>21</v>
      </c>
      <c r="B24" s="45">
        <v>44562</v>
      </c>
      <c r="C24" s="52" t="s">
        <v>28</v>
      </c>
      <c r="D24" s="19">
        <v>5292.35</v>
      </c>
      <c r="E24" s="20" t="s">
        <v>29</v>
      </c>
      <c r="F24" s="20" t="s">
        <v>74</v>
      </c>
      <c r="G24" s="20">
        <v>159</v>
      </c>
      <c r="H24" s="20">
        <f t="shared" si="3"/>
        <v>159</v>
      </c>
      <c r="I24" s="20"/>
      <c r="J24" s="53">
        <v>1</v>
      </c>
      <c r="K24" s="20">
        <f>[2]REFERENCE!$E$37</f>
        <v>0.59279999999999999</v>
      </c>
      <c r="L24" s="21">
        <f t="shared" si="4"/>
        <v>9.4255199999999997E-2</v>
      </c>
      <c r="N24" s="16">
        <v>21</v>
      </c>
      <c r="O24" s="43">
        <v>44470</v>
      </c>
      <c r="P24" s="40" t="s">
        <v>70</v>
      </c>
      <c r="Q24" s="133">
        <v>25</v>
      </c>
      <c r="R24" s="20" t="s">
        <v>32</v>
      </c>
      <c r="S24" s="33" t="s">
        <v>30</v>
      </c>
      <c r="T24" s="20">
        <v>645</v>
      </c>
      <c r="U24" s="27" t="s">
        <v>113</v>
      </c>
      <c r="V24" s="20"/>
      <c r="W24" s="20" t="s">
        <v>33</v>
      </c>
      <c r="X24" s="20">
        <f>[2]REFERENCE!$E$37</f>
        <v>0.59279999999999999</v>
      </c>
      <c r="Y24" s="21">
        <f t="shared" si="5"/>
        <v>0.38235599999999997</v>
      </c>
      <c r="AA24" s="29">
        <v>21</v>
      </c>
      <c r="AB24" s="30">
        <v>44513</v>
      </c>
      <c r="AC24" s="31" t="s">
        <v>49</v>
      </c>
      <c r="AD24" s="32">
        <v>25000</v>
      </c>
      <c r="AE24" s="20" t="s">
        <v>32</v>
      </c>
      <c r="AF24" s="33" t="s">
        <v>34</v>
      </c>
      <c r="AG24" s="20">
        <v>702</v>
      </c>
      <c r="AH24" s="20"/>
      <c r="AI24" s="34">
        <f>[2]REFERENCE!$E$38</f>
        <v>9.9600000000000001E-3</v>
      </c>
      <c r="AJ24" s="21">
        <f t="shared" si="0"/>
        <v>0.17479800000000001</v>
      </c>
      <c r="AL24" s="16">
        <v>21</v>
      </c>
      <c r="AM24" s="30">
        <v>44477</v>
      </c>
      <c r="AN24" s="31" t="s">
        <v>39</v>
      </c>
      <c r="AO24" s="32">
        <v>25000</v>
      </c>
      <c r="AP24" s="82" t="s">
        <v>34</v>
      </c>
      <c r="AQ24" s="47" t="s">
        <v>40</v>
      </c>
      <c r="AR24" s="27" t="s">
        <v>114</v>
      </c>
      <c r="AS24" s="49">
        <v>3447</v>
      </c>
      <c r="AT24" s="36">
        <f t="shared" si="6"/>
        <v>6383.8440000000001</v>
      </c>
      <c r="AU24" s="35">
        <f>[2]REFERENCE!$E$39</f>
        <v>8.3999999999999995E-3</v>
      </c>
      <c r="AV24" s="37">
        <f t="shared" si="1"/>
        <v>1.34060724</v>
      </c>
      <c r="AX24" s="16"/>
      <c r="AY24" s="43"/>
      <c r="AZ24" s="20"/>
      <c r="BA24" s="44"/>
      <c r="BB24" s="20"/>
      <c r="BC24" s="20"/>
      <c r="BD24" s="35"/>
      <c r="BE24" s="20"/>
      <c r="BF24" s="41"/>
    </row>
    <row r="25" spans="1:58" ht="16.5" thickBot="1" x14ac:dyDescent="0.4">
      <c r="A25" s="16">
        <v>22</v>
      </c>
      <c r="B25" s="45">
        <v>44562</v>
      </c>
      <c r="C25" s="52"/>
      <c r="D25" s="19">
        <v>42703.5</v>
      </c>
      <c r="E25" s="20" t="s">
        <v>29</v>
      </c>
      <c r="F25" s="20" t="s">
        <v>41</v>
      </c>
      <c r="G25" s="20">
        <v>40</v>
      </c>
      <c r="H25" s="20">
        <f t="shared" si="3"/>
        <v>160</v>
      </c>
      <c r="I25" s="20"/>
      <c r="J25" s="53">
        <v>4</v>
      </c>
      <c r="K25" s="20">
        <f>[2]REFERENCE!$E$37</f>
        <v>0.59279999999999999</v>
      </c>
      <c r="L25" s="21">
        <f t="shared" si="4"/>
        <v>9.4848000000000002E-2</v>
      </c>
      <c r="N25" s="16">
        <v>22</v>
      </c>
      <c r="O25" s="30">
        <v>44473</v>
      </c>
      <c r="P25" s="46" t="s">
        <v>46</v>
      </c>
      <c r="Q25" s="32">
        <v>24452</v>
      </c>
      <c r="R25" s="20" t="s">
        <v>32</v>
      </c>
      <c r="S25" s="33" t="s">
        <v>30</v>
      </c>
      <c r="T25" s="20">
        <v>645</v>
      </c>
      <c r="U25" s="27" t="s">
        <v>113</v>
      </c>
      <c r="V25" s="20"/>
      <c r="W25" s="20" t="s">
        <v>33</v>
      </c>
      <c r="X25" s="20">
        <f>[2]REFERENCE!$E$37</f>
        <v>0.59279999999999999</v>
      </c>
      <c r="Y25" s="21">
        <f t="shared" si="5"/>
        <v>0.38235599999999997</v>
      </c>
      <c r="AA25" s="29">
        <v>22</v>
      </c>
      <c r="AB25" s="30">
        <v>44513</v>
      </c>
      <c r="AC25" s="31" t="s">
        <v>46</v>
      </c>
      <c r="AD25" s="32">
        <v>24948</v>
      </c>
      <c r="AE25" s="20" t="s">
        <v>32</v>
      </c>
      <c r="AF25" s="33" t="s">
        <v>34</v>
      </c>
      <c r="AG25" s="20">
        <v>702</v>
      </c>
      <c r="AH25" s="20"/>
      <c r="AI25" s="34">
        <f>[2]REFERENCE!$E$38</f>
        <v>9.9600000000000001E-3</v>
      </c>
      <c r="AJ25" s="21">
        <f t="shared" si="0"/>
        <v>0.17443442016000002</v>
      </c>
      <c r="AL25" s="16">
        <v>22</v>
      </c>
      <c r="AM25" s="30">
        <v>44480</v>
      </c>
      <c r="AN25" s="38" t="s">
        <v>31</v>
      </c>
      <c r="AO25" s="32">
        <v>25000</v>
      </c>
      <c r="AP25" s="33" t="s">
        <v>34</v>
      </c>
      <c r="AQ25" s="33" t="s">
        <v>35</v>
      </c>
      <c r="AR25" s="27" t="s">
        <v>114</v>
      </c>
      <c r="AS25" s="35">
        <v>9036</v>
      </c>
      <c r="AT25" s="36">
        <f t="shared" si="6"/>
        <v>16734.672000000002</v>
      </c>
      <c r="AU25" s="35">
        <f>[2]REFERENCE!$E$39</f>
        <v>8.3999999999999995E-3</v>
      </c>
      <c r="AV25" s="37">
        <f t="shared" si="1"/>
        <v>3.5142811200000001</v>
      </c>
      <c r="AX25" s="16"/>
      <c r="AY25" s="43"/>
      <c r="AZ25" s="20"/>
      <c r="BA25" s="44"/>
      <c r="BB25" s="20"/>
      <c r="BC25" s="20"/>
      <c r="BD25" s="35"/>
      <c r="BE25" s="20"/>
      <c r="BF25" s="41"/>
    </row>
    <row r="26" spans="1:58" ht="16.5" thickBot="1" x14ac:dyDescent="0.4">
      <c r="A26" s="16">
        <v>23</v>
      </c>
      <c r="B26" s="45">
        <v>44562</v>
      </c>
      <c r="C26" s="52"/>
      <c r="D26" s="19">
        <v>62635.560000000005</v>
      </c>
      <c r="E26" s="20" t="s">
        <v>29</v>
      </c>
      <c r="F26" s="20" t="s">
        <v>30</v>
      </c>
      <c r="G26" s="20">
        <v>236</v>
      </c>
      <c r="H26" s="20">
        <f t="shared" si="3"/>
        <v>1416</v>
      </c>
      <c r="I26" s="20"/>
      <c r="J26" s="53">
        <v>6</v>
      </c>
      <c r="K26" s="20">
        <f>[2]REFERENCE!$E$37</f>
        <v>0.59279999999999999</v>
      </c>
      <c r="L26" s="21">
        <f t="shared" si="4"/>
        <v>0.83940480000000006</v>
      </c>
      <c r="N26" s="16">
        <v>23</v>
      </c>
      <c r="O26" s="30">
        <v>44477</v>
      </c>
      <c r="P26" s="31" t="s">
        <v>39</v>
      </c>
      <c r="Q26" s="32">
        <v>25000</v>
      </c>
      <c r="R26" s="20" t="s">
        <v>32</v>
      </c>
      <c r="S26" s="33" t="s">
        <v>30</v>
      </c>
      <c r="T26" s="20">
        <v>645</v>
      </c>
      <c r="U26" s="27" t="s">
        <v>113</v>
      </c>
      <c r="V26" s="20"/>
      <c r="W26" s="20" t="s">
        <v>33</v>
      </c>
      <c r="X26" s="20">
        <f>[2]REFERENCE!$E$37</f>
        <v>0.59279999999999999</v>
      </c>
      <c r="Y26" s="21">
        <f t="shared" si="5"/>
        <v>0.38235599999999997</v>
      </c>
      <c r="AA26" s="29">
        <v>23</v>
      </c>
      <c r="AB26" s="30">
        <v>44527</v>
      </c>
      <c r="AC26" s="31" t="s">
        <v>47</v>
      </c>
      <c r="AD26" s="32">
        <v>24945.25</v>
      </c>
      <c r="AE26" s="20" t="s">
        <v>32</v>
      </c>
      <c r="AF26" s="33" t="s">
        <v>34</v>
      </c>
      <c r="AG26" s="20">
        <v>702</v>
      </c>
      <c r="AH26" s="20"/>
      <c r="AI26" s="34">
        <f>[2]REFERENCE!$E$38</f>
        <v>9.9600000000000001E-3</v>
      </c>
      <c r="AJ26" s="21">
        <f t="shared" si="0"/>
        <v>0.17441519238</v>
      </c>
      <c r="AL26" s="16">
        <v>23</v>
      </c>
      <c r="AM26" s="30">
        <v>44485</v>
      </c>
      <c r="AN26" s="31" t="s">
        <v>47</v>
      </c>
      <c r="AO26" s="32">
        <v>24946.9</v>
      </c>
      <c r="AP26" s="33" t="s">
        <v>34</v>
      </c>
      <c r="AQ26" s="33" t="s">
        <v>35</v>
      </c>
      <c r="AR26" s="27" t="s">
        <v>114</v>
      </c>
      <c r="AS26" s="35">
        <v>9036</v>
      </c>
      <c r="AT26" s="36">
        <f t="shared" si="6"/>
        <v>16734.672000000002</v>
      </c>
      <c r="AU26" s="35">
        <f>[2]REFERENCE!$E$39</f>
        <v>8.3999999999999995E-3</v>
      </c>
      <c r="AV26" s="37">
        <f t="shared" si="1"/>
        <v>3.5068167869011204</v>
      </c>
      <c r="AX26" s="16"/>
      <c r="AY26" s="43"/>
      <c r="AZ26" s="20"/>
      <c r="BA26" s="44"/>
      <c r="BB26" s="20"/>
      <c r="BC26" s="20"/>
      <c r="BD26" s="35"/>
      <c r="BE26" s="20"/>
      <c r="BF26" s="41"/>
    </row>
    <row r="27" spans="1:58" ht="16.5" thickBot="1" x14ac:dyDescent="0.4">
      <c r="A27" s="16">
        <v>24</v>
      </c>
      <c r="B27" s="45">
        <v>44562</v>
      </c>
      <c r="C27" s="52"/>
      <c r="D27" s="19">
        <v>57988.51</v>
      </c>
      <c r="E27" s="20" t="s">
        <v>38</v>
      </c>
      <c r="F27" s="20" t="s">
        <v>41</v>
      </c>
      <c r="G27" s="20">
        <v>164</v>
      </c>
      <c r="H27" s="20">
        <f t="shared" si="3"/>
        <v>656</v>
      </c>
      <c r="I27" s="20"/>
      <c r="J27" s="53">
        <v>4</v>
      </c>
      <c r="K27" s="20">
        <f>[2]REFERENCE!$E$37</f>
        <v>0.59279999999999999</v>
      </c>
      <c r="L27" s="21">
        <f t="shared" si="4"/>
        <v>0.38887680000000002</v>
      </c>
      <c r="N27" s="16">
        <v>24</v>
      </c>
      <c r="O27" s="30">
        <v>44480</v>
      </c>
      <c r="P27" s="38" t="s">
        <v>31</v>
      </c>
      <c r="Q27" s="32">
        <v>25000</v>
      </c>
      <c r="R27" s="20" t="s">
        <v>32</v>
      </c>
      <c r="S27" s="33" t="s">
        <v>30</v>
      </c>
      <c r="T27" s="20">
        <v>645</v>
      </c>
      <c r="U27" s="27" t="s">
        <v>113</v>
      </c>
      <c r="V27" s="20"/>
      <c r="W27" s="20" t="s">
        <v>33</v>
      </c>
      <c r="X27" s="20">
        <f>[2]REFERENCE!$E$37</f>
        <v>0.59279999999999999</v>
      </c>
      <c r="Y27" s="21">
        <f t="shared" si="5"/>
        <v>0.38235599999999997</v>
      </c>
      <c r="AA27" s="29">
        <v>24</v>
      </c>
      <c r="AB27" s="30">
        <v>44533</v>
      </c>
      <c r="AC27" s="31" t="s">
        <v>44</v>
      </c>
      <c r="AD27" s="32">
        <v>24948</v>
      </c>
      <c r="AE27" s="20" t="s">
        <v>32</v>
      </c>
      <c r="AF27" s="33" t="s">
        <v>34</v>
      </c>
      <c r="AG27" s="20">
        <v>702</v>
      </c>
      <c r="AH27" s="20"/>
      <c r="AI27" s="34">
        <f>[2]REFERENCE!$E$38</f>
        <v>9.9600000000000001E-3</v>
      </c>
      <c r="AJ27" s="21">
        <f t="shared" si="0"/>
        <v>0.17443442016000002</v>
      </c>
      <c r="AL27" s="16">
        <v>24</v>
      </c>
      <c r="AM27" s="30">
        <v>44485</v>
      </c>
      <c r="AN27" s="31" t="s">
        <v>47</v>
      </c>
      <c r="AO27" s="32">
        <v>24946.9</v>
      </c>
      <c r="AP27" s="33" t="s">
        <v>34</v>
      </c>
      <c r="AQ27" s="33" t="s">
        <v>35</v>
      </c>
      <c r="AR27" s="27" t="s">
        <v>114</v>
      </c>
      <c r="AS27" s="35">
        <v>9036</v>
      </c>
      <c r="AT27" s="36">
        <f t="shared" si="6"/>
        <v>16734.672000000002</v>
      </c>
      <c r="AU27" s="35">
        <f>[2]REFERENCE!$E$39</f>
        <v>8.3999999999999995E-3</v>
      </c>
      <c r="AV27" s="37">
        <f t="shared" si="1"/>
        <v>3.5068167869011204</v>
      </c>
      <c r="AX27" s="16"/>
      <c r="AY27" s="43"/>
      <c r="AZ27" s="20"/>
      <c r="BA27" s="44"/>
      <c r="BB27" s="20"/>
      <c r="BC27" s="20"/>
      <c r="BD27" s="35"/>
      <c r="BE27" s="20"/>
      <c r="BF27" s="41"/>
    </row>
    <row r="28" spans="1:58" ht="16.5" thickBot="1" x14ac:dyDescent="0.4">
      <c r="A28" s="16">
        <v>25</v>
      </c>
      <c r="B28" s="45">
        <v>44562</v>
      </c>
      <c r="C28" s="52"/>
      <c r="D28" s="19">
        <v>93055</v>
      </c>
      <c r="E28" s="20" t="s">
        <v>38</v>
      </c>
      <c r="F28" s="20" t="s">
        <v>30</v>
      </c>
      <c r="G28" s="20">
        <v>358</v>
      </c>
      <c r="H28" s="20">
        <f t="shared" si="3"/>
        <v>2148</v>
      </c>
      <c r="I28" s="20"/>
      <c r="J28" s="53">
        <v>6</v>
      </c>
      <c r="K28" s="20">
        <f>[2]REFERENCE!$E$37</f>
        <v>0.59279999999999999</v>
      </c>
      <c r="L28" s="21">
        <f t="shared" si="4"/>
        <v>1.2733344</v>
      </c>
      <c r="N28" s="16">
        <v>25</v>
      </c>
      <c r="O28" s="30">
        <v>44485</v>
      </c>
      <c r="P28" s="31" t="s">
        <v>47</v>
      </c>
      <c r="Q28" s="32">
        <v>24946.9</v>
      </c>
      <c r="R28" s="20" t="s">
        <v>32</v>
      </c>
      <c r="S28" s="33" t="s">
        <v>30</v>
      </c>
      <c r="T28" s="20">
        <v>645</v>
      </c>
      <c r="U28" s="27" t="s">
        <v>113</v>
      </c>
      <c r="V28" s="20"/>
      <c r="W28" s="20" t="s">
        <v>33</v>
      </c>
      <c r="X28" s="20">
        <f>[2]REFERENCE!$E$37</f>
        <v>0.59279999999999999</v>
      </c>
      <c r="Y28" s="21">
        <f t="shared" si="5"/>
        <v>0.38235599999999997</v>
      </c>
      <c r="AA28" s="29">
        <v>25</v>
      </c>
      <c r="AB28" s="30">
        <v>44538</v>
      </c>
      <c r="AC28" s="31" t="s">
        <v>75</v>
      </c>
      <c r="AD28" s="32">
        <v>7750</v>
      </c>
      <c r="AE28" s="20" t="s">
        <v>32</v>
      </c>
      <c r="AF28" s="33" t="s">
        <v>34</v>
      </c>
      <c r="AG28" s="20">
        <v>702</v>
      </c>
      <c r="AH28" s="20"/>
      <c r="AI28" s="34">
        <f>[2]REFERENCE!$E$38</f>
        <v>9.9600000000000001E-3</v>
      </c>
      <c r="AJ28" s="21">
        <f t="shared" si="0"/>
        <v>5.418738E-2</v>
      </c>
      <c r="AL28" s="16">
        <v>25</v>
      </c>
      <c r="AM28" s="30">
        <v>44498</v>
      </c>
      <c r="AN28" s="38" t="s">
        <v>46</v>
      </c>
      <c r="AO28" s="32">
        <v>24948</v>
      </c>
      <c r="AP28" s="33" t="s">
        <v>34</v>
      </c>
      <c r="AQ28" s="33" t="s">
        <v>35</v>
      </c>
      <c r="AR28" s="27" t="s">
        <v>114</v>
      </c>
      <c r="AS28" s="35">
        <v>9036</v>
      </c>
      <c r="AT28" s="36">
        <f t="shared" si="6"/>
        <v>16734.672000000002</v>
      </c>
      <c r="AU28" s="35">
        <f>[2]REFERENCE!$E$39</f>
        <v>8.3999999999999995E-3</v>
      </c>
      <c r="AV28" s="37">
        <f t="shared" si="1"/>
        <v>3.5069714152704003</v>
      </c>
      <c r="AX28" s="16"/>
      <c r="AY28" s="43"/>
      <c r="AZ28" s="20"/>
      <c r="BA28" s="44"/>
      <c r="BB28" s="20"/>
      <c r="BC28" s="20"/>
      <c r="BD28" s="35"/>
      <c r="BE28" s="20"/>
      <c r="BF28" s="41"/>
    </row>
    <row r="29" spans="1:58" ht="16.5" thickBot="1" x14ac:dyDescent="0.4">
      <c r="A29" s="16">
        <v>26</v>
      </c>
      <c r="B29" s="45">
        <v>44593</v>
      </c>
      <c r="C29" s="44" t="s">
        <v>28</v>
      </c>
      <c r="D29" s="19">
        <v>106673.62</v>
      </c>
      <c r="E29" s="20" t="s">
        <v>29</v>
      </c>
      <c r="F29" s="20" t="s">
        <v>76</v>
      </c>
      <c r="G29" s="20">
        <v>40</v>
      </c>
      <c r="H29" s="20">
        <f t="shared" si="3"/>
        <v>400</v>
      </c>
      <c r="I29" s="20"/>
      <c r="J29" s="20">
        <v>10</v>
      </c>
      <c r="K29" s="20">
        <f>[2]REFERENCE!$E$37</f>
        <v>0.59279999999999999</v>
      </c>
      <c r="L29" s="21">
        <f t="shared" si="4"/>
        <v>0.23712</v>
      </c>
      <c r="N29" s="16">
        <v>26</v>
      </c>
      <c r="O29" s="30">
        <v>44485</v>
      </c>
      <c r="P29" s="31" t="s">
        <v>47</v>
      </c>
      <c r="Q29" s="32">
        <v>24946.9</v>
      </c>
      <c r="R29" s="20" t="s">
        <v>32</v>
      </c>
      <c r="S29" s="33" t="s">
        <v>30</v>
      </c>
      <c r="T29" s="20">
        <v>645</v>
      </c>
      <c r="U29" s="27" t="s">
        <v>113</v>
      </c>
      <c r="V29" s="20"/>
      <c r="W29" s="20" t="s">
        <v>33</v>
      </c>
      <c r="X29" s="20">
        <f>[2]REFERENCE!$E$37</f>
        <v>0.59279999999999999</v>
      </c>
      <c r="Y29" s="21">
        <f t="shared" si="5"/>
        <v>0.38235599999999997</v>
      </c>
      <c r="AA29" s="29">
        <v>26</v>
      </c>
      <c r="AB29" s="30">
        <v>44544</v>
      </c>
      <c r="AC29" s="31" t="s">
        <v>48</v>
      </c>
      <c r="AD29" s="32">
        <v>24946.184999999998</v>
      </c>
      <c r="AE29" s="20" t="s">
        <v>32</v>
      </c>
      <c r="AF29" s="33" t="s">
        <v>34</v>
      </c>
      <c r="AG29" s="20">
        <v>702</v>
      </c>
      <c r="AH29" s="20"/>
      <c r="AI29" s="34">
        <f>[2]REFERENCE!$E$38</f>
        <v>9.9600000000000001E-3</v>
      </c>
      <c r="AJ29" s="21">
        <f t="shared" si="0"/>
        <v>0.17442172982519999</v>
      </c>
      <c r="AL29" s="16">
        <v>26</v>
      </c>
      <c r="AM29" s="30">
        <v>44498</v>
      </c>
      <c r="AN29" s="38" t="s">
        <v>39</v>
      </c>
      <c r="AO29" s="32">
        <v>25000</v>
      </c>
      <c r="AP29" s="33" t="s">
        <v>34</v>
      </c>
      <c r="AQ29" s="33" t="s">
        <v>40</v>
      </c>
      <c r="AR29" s="27" t="s">
        <v>114</v>
      </c>
      <c r="AS29" s="35">
        <v>3447</v>
      </c>
      <c r="AT29" s="36">
        <f t="shared" si="6"/>
        <v>6383.8440000000001</v>
      </c>
      <c r="AU29" s="35">
        <f>[2]REFERENCE!$E$39</f>
        <v>8.3999999999999995E-3</v>
      </c>
      <c r="AV29" s="37">
        <f t="shared" si="1"/>
        <v>1.34060724</v>
      </c>
      <c r="AX29" s="16"/>
      <c r="AY29" s="43"/>
      <c r="AZ29" s="20"/>
      <c r="BA29" s="44"/>
      <c r="BB29" s="20"/>
      <c r="BC29" s="20"/>
      <c r="BD29" s="35"/>
      <c r="BE29" s="20"/>
      <c r="BF29" s="41"/>
    </row>
    <row r="30" spans="1:58" ht="16.5" thickBot="1" x14ac:dyDescent="0.4">
      <c r="A30" s="16">
        <v>27</v>
      </c>
      <c r="B30" s="45">
        <v>44593</v>
      </c>
      <c r="C30" s="44"/>
      <c r="D30" s="19">
        <v>104518.37</v>
      </c>
      <c r="E30" s="20" t="s">
        <v>29</v>
      </c>
      <c r="F30" s="20" t="s">
        <v>30</v>
      </c>
      <c r="G30" s="20">
        <v>236</v>
      </c>
      <c r="H30" s="20">
        <f t="shared" si="3"/>
        <v>2360</v>
      </c>
      <c r="I30" s="20"/>
      <c r="J30" s="20">
        <v>10</v>
      </c>
      <c r="K30" s="20">
        <f>[2]REFERENCE!$E$37</f>
        <v>0.59279999999999999</v>
      </c>
      <c r="L30" s="21">
        <f t="shared" si="4"/>
        <v>1.399008</v>
      </c>
      <c r="N30" s="16">
        <v>27</v>
      </c>
      <c r="O30" s="30">
        <v>44498</v>
      </c>
      <c r="P30" s="38" t="s">
        <v>46</v>
      </c>
      <c r="Q30" s="32">
        <v>24948</v>
      </c>
      <c r="R30" s="20" t="s">
        <v>32</v>
      </c>
      <c r="S30" s="33" t="s">
        <v>30</v>
      </c>
      <c r="T30" s="20">
        <v>645</v>
      </c>
      <c r="U30" s="27" t="s">
        <v>113</v>
      </c>
      <c r="V30" s="20"/>
      <c r="W30" s="20" t="s">
        <v>33</v>
      </c>
      <c r="X30" s="20">
        <f>[2]REFERENCE!$E$37</f>
        <v>0.59279999999999999</v>
      </c>
      <c r="Y30" s="21">
        <f t="shared" si="5"/>
        <v>0.38235599999999997</v>
      </c>
      <c r="AA30" s="29">
        <v>27</v>
      </c>
      <c r="AB30" s="30">
        <v>44548</v>
      </c>
      <c r="AC30" s="31" t="s">
        <v>53</v>
      </c>
      <c r="AD30" s="32">
        <v>24946.184999999998</v>
      </c>
      <c r="AE30" s="20" t="s">
        <v>32</v>
      </c>
      <c r="AF30" s="33" t="s">
        <v>34</v>
      </c>
      <c r="AG30" s="20">
        <v>702</v>
      </c>
      <c r="AH30" s="20"/>
      <c r="AI30" s="34">
        <f>[2]REFERENCE!$E$38</f>
        <v>9.9600000000000001E-3</v>
      </c>
      <c r="AJ30" s="21">
        <f t="shared" si="0"/>
        <v>0.17442172982519999</v>
      </c>
      <c r="AL30" s="16">
        <v>27</v>
      </c>
      <c r="AM30" s="30">
        <v>44498</v>
      </c>
      <c r="AN30" s="46" t="s">
        <v>39</v>
      </c>
      <c r="AO30" s="32">
        <v>25000</v>
      </c>
      <c r="AP30" s="33" t="s">
        <v>34</v>
      </c>
      <c r="AQ30" s="33" t="s">
        <v>40</v>
      </c>
      <c r="AR30" s="27" t="s">
        <v>114</v>
      </c>
      <c r="AS30" s="35">
        <v>3447</v>
      </c>
      <c r="AT30" s="36">
        <f t="shared" si="6"/>
        <v>6383.8440000000001</v>
      </c>
      <c r="AU30" s="35">
        <f>[2]REFERENCE!$E$39</f>
        <v>8.3999999999999995E-3</v>
      </c>
      <c r="AV30" s="37">
        <f t="shared" si="1"/>
        <v>1.34060724</v>
      </c>
      <c r="AX30" s="16"/>
      <c r="AY30" s="43"/>
      <c r="AZ30" s="20"/>
      <c r="BA30" s="44"/>
      <c r="BB30" s="20"/>
      <c r="BC30" s="20"/>
      <c r="BD30" s="35"/>
      <c r="BE30" s="20"/>
      <c r="BF30" s="41"/>
    </row>
    <row r="31" spans="1:58" ht="16.5" thickBot="1" x14ac:dyDescent="0.4">
      <c r="A31" s="16">
        <v>28</v>
      </c>
      <c r="B31" s="45">
        <v>44593</v>
      </c>
      <c r="C31" s="44"/>
      <c r="D31" s="19">
        <v>41150.230000000003</v>
      </c>
      <c r="E31" s="20" t="s">
        <v>38</v>
      </c>
      <c r="F31" s="20" t="s">
        <v>41</v>
      </c>
      <c r="G31" s="20">
        <v>164</v>
      </c>
      <c r="H31" s="20">
        <f t="shared" si="3"/>
        <v>492</v>
      </c>
      <c r="I31" s="20"/>
      <c r="J31" s="20">
        <v>3</v>
      </c>
      <c r="K31" s="20">
        <f>[2]REFERENCE!$E$37</f>
        <v>0.59279999999999999</v>
      </c>
      <c r="L31" s="21">
        <f t="shared" si="4"/>
        <v>0.29165760000000002</v>
      </c>
      <c r="N31" s="16">
        <v>28</v>
      </c>
      <c r="O31" s="30">
        <v>44498</v>
      </c>
      <c r="P31" s="38" t="s">
        <v>39</v>
      </c>
      <c r="Q31" s="32">
        <v>25000</v>
      </c>
      <c r="R31" s="20" t="s">
        <v>32</v>
      </c>
      <c r="S31" s="33" t="s">
        <v>30</v>
      </c>
      <c r="T31" s="20">
        <v>645</v>
      </c>
      <c r="U31" s="27" t="s">
        <v>113</v>
      </c>
      <c r="V31" s="20"/>
      <c r="W31" s="20" t="s">
        <v>33</v>
      </c>
      <c r="X31" s="20">
        <f>[2]REFERENCE!$E$37</f>
        <v>0.59279999999999999</v>
      </c>
      <c r="Y31" s="21">
        <f t="shared" si="5"/>
        <v>0.38235599999999997</v>
      </c>
      <c r="AA31" s="29">
        <v>28</v>
      </c>
      <c r="AB31" s="30">
        <v>44550</v>
      </c>
      <c r="AC31" s="46" t="s">
        <v>51</v>
      </c>
      <c r="AD31" s="32">
        <v>12500</v>
      </c>
      <c r="AE31" s="20" t="s">
        <v>32</v>
      </c>
      <c r="AF31" s="33" t="s">
        <v>34</v>
      </c>
      <c r="AG31" s="20">
        <v>702</v>
      </c>
      <c r="AH31" s="20"/>
      <c r="AI31" s="34">
        <f>[2]REFERENCE!$E$38</f>
        <v>9.9600000000000001E-3</v>
      </c>
      <c r="AJ31" s="21">
        <f t="shared" si="0"/>
        <v>8.7399000000000004E-2</v>
      </c>
      <c r="AL31" s="16">
        <v>28</v>
      </c>
      <c r="AM31" s="30">
        <v>44513</v>
      </c>
      <c r="AN31" s="31" t="s">
        <v>49</v>
      </c>
      <c r="AO31" s="32">
        <v>25000</v>
      </c>
      <c r="AP31" s="47" t="s">
        <v>34</v>
      </c>
      <c r="AQ31" s="47" t="s">
        <v>40</v>
      </c>
      <c r="AR31" s="27" t="s">
        <v>114</v>
      </c>
      <c r="AS31" s="50">
        <v>3447</v>
      </c>
      <c r="AT31" s="36">
        <f t="shared" si="6"/>
        <v>6383.8440000000001</v>
      </c>
      <c r="AU31" s="35">
        <f>[2]REFERENCE!$E$39</f>
        <v>8.3999999999999995E-3</v>
      </c>
      <c r="AV31" s="37">
        <f t="shared" si="1"/>
        <v>1.34060724</v>
      </c>
      <c r="AX31" s="16"/>
      <c r="AY31" s="43"/>
      <c r="AZ31" s="20"/>
      <c r="BA31" s="44"/>
      <c r="BB31" s="20"/>
      <c r="BC31" s="20"/>
      <c r="BD31" s="35"/>
      <c r="BE31" s="20"/>
      <c r="BF31" s="41"/>
    </row>
    <row r="32" spans="1:58" ht="16.5" thickBot="1" x14ac:dyDescent="0.4">
      <c r="A32" s="16">
        <v>29</v>
      </c>
      <c r="B32" s="45">
        <v>44593</v>
      </c>
      <c r="C32" s="44"/>
      <c r="D32" s="19">
        <v>50683.59</v>
      </c>
      <c r="E32" s="20" t="s">
        <v>38</v>
      </c>
      <c r="F32" s="20" t="s">
        <v>30</v>
      </c>
      <c r="G32" s="20">
        <v>358</v>
      </c>
      <c r="H32" s="20">
        <f t="shared" si="3"/>
        <v>1790</v>
      </c>
      <c r="I32" s="20"/>
      <c r="J32" s="20">
        <v>5</v>
      </c>
      <c r="K32" s="20">
        <f>[2]REFERENCE!$E$37</f>
        <v>0.59279999999999999</v>
      </c>
      <c r="L32" s="21">
        <f t="shared" si="4"/>
        <v>1.0611120000000001</v>
      </c>
      <c r="N32" s="16">
        <v>29</v>
      </c>
      <c r="O32" s="30">
        <v>44498</v>
      </c>
      <c r="P32" s="46" t="s">
        <v>39</v>
      </c>
      <c r="Q32" s="32">
        <v>25000</v>
      </c>
      <c r="R32" s="20" t="s">
        <v>32</v>
      </c>
      <c r="S32" s="33" t="s">
        <v>30</v>
      </c>
      <c r="T32" s="20">
        <v>645</v>
      </c>
      <c r="U32" s="27" t="s">
        <v>113</v>
      </c>
      <c r="V32" s="20"/>
      <c r="W32" s="20" t="s">
        <v>33</v>
      </c>
      <c r="X32" s="20">
        <f>[2]REFERENCE!$E$37</f>
        <v>0.59279999999999999</v>
      </c>
      <c r="Y32" s="21">
        <f t="shared" si="5"/>
        <v>0.38235599999999997</v>
      </c>
      <c r="AA32" s="29">
        <v>29</v>
      </c>
      <c r="AB32" s="30">
        <v>44553</v>
      </c>
      <c r="AC32" s="31" t="s">
        <v>51</v>
      </c>
      <c r="AD32" s="32">
        <v>12500</v>
      </c>
      <c r="AE32" s="20" t="s">
        <v>32</v>
      </c>
      <c r="AF32" s="33" t="s">
        <v>34</v>
      </c>
      <c r="AG32" s="20">
        <v>702</v>
      </c>
      <c r="AH32" s="20"/>
      <c r="AI32" s="34">
        <f>[2]REFERENCE!$E$38</f>
        <v>9.9600000000000001E-3</v>
      </c>
      <c r="AJ32" s="21">
        <f t="shared" si="0"/>
        <v>8.7399000000000004E-2</v>
      </c>
      <c r="AL32" s="16">
        <v>29</v>
      </c>
      <c r="AM32" s="30">
        <v>44513</v>
      </c>
      <c r="AN32" s="31" t="s">
        <v>46</v>
      </c>
      <c r="AO32" s="32">
        <v>24948</v>
      </c>
      <c r="AP32" s="33" t="s">
        <v>34</v>
      </c>
      <c r="AQ32" s="33" t="s">
        <v>35</v>
      </c>
      <c r="AR32" s="27" t="s">
        <v>114</v>
      </c>
      <c r="AS32" s="35">
        <v>9036</v>
      </c>
      <c r="AT32" s="36">
        <f t="shared" si="6"/>
        <v>16734.672000000002</v>
      </c>
      <c r="AU32" s="35">
        <f>[2]REFERENCE!$E$39</f>
        <v>8.3999999999999995E-3</v>
      </c>
      <c r="AV32" s="37">
        <f t="shared" si="1"/>
        <v>3.5069714152704003</v>
      </c>
      <c r="AX32" s="16"/>
      <c r="AY32" s="43"/>
      <c r="AZ32" s="20"/>
      <c r="BA32" s="44"/>
      <c r="BB32" s="20"/>
      <c r="BC32" s="20"/>
      <c r="BD32" s="35"/>
      <c r="BE32" s="20"/>
      <c r="BF32" s="41"/>
    </row>
    <row r="33" spans="1:58" ht="16.5" thickBot="1" x14ac:dyDescent="0.4">
      <c r="A33" s="16">
        <v>30</v>
      </c>
      <c r="B33" s="45">
        <v>44621</v>
      </c>
      <c r="C33" s="44" t="s">
        <v>28</v>
      </c>
      <c r="D33" s="19">
        <v>136000.81</v>
      </c>
      <c r="E33" s="20" t="s">
        <v>29</v>
      </c>
      <c r="F33" s="20" t="s">
        <v>30</v>
      </c>
      <c r="G33" s="20">
        <v>236</v>
      </c>
      <c r="H33" s="20">
        <f t="shared" si="3"/>
        <v>3068</v>
      </c>
      <c r="I33" s="20"/>
      <c r="J33" s="20">
        <v>13</v>
      </c>
      <c r="K33" s="20">
        <f>[2]REFERENCE!$E$37</f>
        <v>0.59279999999999999</v>
      </c>
      <c r="L33" s="21">
        <f t="shared" si="4"/>
        <v>1.8187103999999998</v>
      </c>
      <c r="N33" s="16">
        <v>30</v>
      </c>
      <c r="O33" s="30">
        <v>44513</v>
      </c>
      <c r="P33" s="31" t="s">
        <v>49</v>
      </c>
      <c r="Q33" s="32">
        <v>25000</v>
      </c>
      <c r="R33" s="20" t="s">
        <v>32</v>
      </c>
      <c r="S33" s="47" t="s">
        <v>30</v>
      </c>
      <c r="T33" s="20">
        <v>645</v>
      </c>
      <c r="U33" s="27" t="s">
        <v>113</v>
      </c>
      <c r="V33" s="20"/>
      <c r="W33" s="20" t="s">
        <v>33</v>
      </c>
      <c r="X33" s="20">
        <f>[2]REFERENCE!$E$37</f>
        <v>0.59279999999999999</v>
      </c>
      <c r="Y33" s="21">
        <f t="shared" si="5"/>
        <v>0.38235599999999997</v>
      </c>
      <c r="AA33" s="29">
        <v>30</v>
      </c>
      <c r="AB33" s="30">
        <v>44554</v>
      </c>
      <c r="AC33" s="31" t="s">
        <v>77</v>
      </c>
      <c r="AD33" s="32">
        <v>680.4</v>
      </c>
      <c r="AE33" s="20" t="s">
        <v>32</v>
      </c>
      <c r="AF33" s="33" t="s">
        <v>34</v>
      </c>
      <c r="AG33" s="20">
        <v>702</v>
      </c>
      <c r="AH33" s="20"/>
      <c r="AI33" s="34">
        <f>[2]REFERENCE!$E$38</f>
        <v>9.9600000000000001E-3</v>
      </c>
      <c r="AJ33" s="21">
        <f t="shared" si="0"/>
        <v>4.757302368E-3</v>
      </c>
      <c r="AL33" s="16">
        <v>30</v>
      </c>
      <c r="AM33" s="30">
        <v>44527</v>
      </c>
      <c r="AN33" s="31" t="s">
        <v>47</v>
      </c>
      <c r="AO33" s="32">
        <v>24945.25</v>
      </c>
      <c r="AP33" s="33" t="s">
        <v>34</v>
      </c>
      <c r="AQ33" s="33" t="s">
        <v>35</v>
      </c>
      <c r="AR33" s="27" t="s">
        <v>114</v>
      </c>
      <c r="AS33" s="35">
        <v>9036</v>
      </c>
      <c r="AT33" s="36">
        <f t="shared" si="6"/>
        <v>16734.672000000002</v>
      </c>
      <c r="AU33" s="35">
        <f>[2]REFERENCE!$E$39</f>
        <v>8.3999999999999995E-3</v>
      </c>
      <c r="AV33" s="37">
        <f t="shared" si="1"/>
        <v>3.5065848443472003</v>
      </c>
      <c r="AX33" s="16"/>
      <c r="AY33" s="43"/>
      <c r="AZ33" s="20"/>
      <c r="BA33" s="44"/>
      <c r="BB33" s="20"/>
      <c r="BC33" s="20"/>
      <c r="BD33" s="35"/>
      <c r="BE33" s="20"/>
      <c r="BF33" s="41"/>
    </row>
    <row r="34" spans="1:58" ht="16.5" thickBot="1" x14ac:dyDescent="0.4">
      <c r="A34" s="16">
        <v>31</v>
      </c>
      <c r="B34" s="45">
        <v>44621</v>
      </c>
      <c r="C34" s="44"/>
      <c r="D34" s="19">
        <v>20399.41</v>
      </c>
      <c r="E34" s="20" t="s">
        <v>29</v>
      </c>
      <c r="F34" s="54" t="s">
        <v>41</v>
      </c>
      <c r="G34" s="20">
        <v>40</v>
      </c>
      <c r="H34" s="20">
        <f t="shared" si="3"/>
        <v>80</v>
      </c>
      <c r="I34" s="20"/>
      <c r="J34" s="54">
        <v>2</v>
      </c>
      <c r="K34" s="20">
        <f>[2]REFERENCE!$E$37</f>
        <v>0.59279999999999999</v>
      </c>
      <c r="L34" s="21">
        <f t="shared" si="4"/>
        <v>4.7424000000000001E-2</v>
      </c>
      <c r="N34" s="16">
        <v>31</v>
      </c>
      <c r="O34" s="30">
        <v>44513</v>
      </c>
      <c r="P34" s="31" t="s">
        <v>46</v>
      </c>
      <c r="Q34" s="32">
        <v>24948</v>
      </c>
      <c r="R34" s="20" t="s">
        <v>32</v>
      </c>
      <c r="S34" s="33" t="s">
        <v>30</v>
      </c>
      <c r="T34" s="20">
        <v>645</v>
      </c>
      <c r="U34" s="27" t="s">
        <v>113</v>
      </c>
      <c r="V34" s="20"/>
      <c r="W34" s="20" t="s">
        <v>33</v>
      </c>
      <c r="X34" s="20">
        <f>[2]REFERENCE!$E$37</f>
        <v>0.59279999999999999</v>
      </c>
      <c r="Y34" s="21">
        <f t="shared" si="5"/>
        <v>0.38235599999999997</v>
      </c>
      <c r="AA34" s="29">
        <v>31</v>
      </c>
      <c r="AB34" s="30">
        <v>44562</v>
      </c>
      <c r="AC34" s="31" t="s">
        <v>47</v>
      </c>
      <c r="AD34" s="32">
        <v>24948</v>
      </c>
      <c r="AE34" s="20" t="s">
        <v>32</v>
      </c>
      <c r="AF34" s="33" t="s">
        <v>34</v>
      </c>
      <c r="AG34" s="20">
        <v>702</v>
      </c>
      <c r="AH34" s="20"/>
      <c r="AI34" s="34">
        <f>[2]REFERENCE!$E$38</f>
        <v>9.9600000000000001E-3</v>
      </c>
      <c r="AJ34" s="21">
        <f t="shared" si="0"/>
        <v>0.17443442016000002</v>
      </c>
      <c r="AL34" s="16">
        <v>31</v>
      </c>
      <c r="AM34" s="30">
        <v>44533</v>
      </c>
      <c r="AN34" s="31" t="s">
        <v>44</v>
      </c>
      <c r="AO34" s="32">
        <v>24948</v>
      </c>
      <c r="AP34" s="33" t="s">
        <v>34</v>
      </c>
      <c r="AQ34" s="33" t="s">
        <v>35</v>
      </c>
      <c r="AR34" s="27" t="s">
        <v>114</v>
      </c>
      <c r="AS34" s="35">
        <v>9036</v>
      </c>
      <c r="AT34" s="36">
        <f t="shared" si="6"/>
        <v>16734.672000000002</v>
      </c>
      <c r="AU34" s="35">
        <f>[2]REFERENCE!$E$39</f>
        <v>8.3999999999999995E-3</v>
      </c>
      <c r="AV34" s="37">
        <f t="shared" si="1"/>
        <v>3.5069714152704003</v>
      </c>
      <c r="AX34" s="16"/>
      <c r="AY34" s="43"/>
      <c r="AZ34" s="20"/>
      <c r="BA34" s="44"/>
      <c r="BB34" s="20"/>
      <c r="BC34" s="20"/>
      <c r="BD34" s="35"/>
      <c r="BE34" s="20"/>
      <c r="BF34" s="41"/>
    </row>
    <row r="35" spans="1:58" ht="16.5" thickBot="1" x14ac:dyDescent="0.4">
      <c r="A35" s="16">
        <v>32</v>
      </c>
      <c r="B35" s="45">
        <v>44652</v>
      </c>
      <c r="C35" s="44" t="s">
        <v>28</v>
      </c>
      <c r="D35" s="19">
        <v>65336.92</v>
      </c>
      <c r="E35" s="20" t="s">
        <v>29</v>
      </c>
      <c r="F35" s="20" t="s">
        <v>41</v>
      </c>
      <c r="G35" s="20">
        <v>40</v>
      </c>
      <c r="H35" s="20">
        <f t="shared" si="3"/>
        <v>240</v>
      </c>
      <c r="I35" s="20"/>
      <c r="J35" s="20">
        <v>6</v>
      </c>
      <c r="K35" s="20">
        <f>[2]REFERENCE!$E$37</f>
        <v>0.59279999999999999</v>
      </c>
      <c r="L35" s="21">
        <f t="shared" si="4"/>
        <v>0.14227199999999998</v>
      </c>
      <c r="N35" s="16">
        <v>32</v>
      </c>
      <c r="O35" s="30">
        <v>44527</v>
      </c>
      <c r="P35" s="31" t="s">
        <v>47</v>
      </c>
      <c r="Q35" s="32">
        <v>24945.25</v>
      </c>
      <c r="R35" s="20" t="s">
        <v>32</v>
      </c>
      <c r="S35" s="33" t="s">
        <v>30</v>
      </c>
      <c r="T35" s="20">
        <v>645</v>
      </c>
      <c r="U35" s="27" t="s">
        <v>113</v>
      </c>
      <c r="V35" s="20"/>
      <c r="W35" s="20" t="s">
        <v>33</v>
      </c>
      <c r="X35" s="20">
        <f>[2]REFERENCE!$E$37</f>
        <v>0.59279999999999999</v>
      </c>
      <c r="Y35" s="21">
        <f t="shared" si="5"/>
        <v>0.38235599999999997</v>
      </c>
      <c r="AA35" s="29">
        <v>32</v>
      </c>
      <c r="AB35" s="30">
        <v>44566</v>
      </c>
      <c r="AC35" s="46" t="s">
        <v>50</v>
      </c>
      <c r="AD35" s="57">
        <v>24948</v>
      </c>
      <c r="AE35" s="20" t="s">
        <v>32</v>
      </c>
      <c r="AF35" s="33" t="s">
        <v>34</v>
      </c>
      <c r="AG35" s="20">
        <v>702</v>
      </c>
      <c r="AH35" s="20"/>
      <c r="AI35" s="34">
        <f>[2]REFERENCE!$E$38</f>
        <v>9.9600000000000001E-3</v>
      </c>
      <c r="AJ35" s="21">
        <f t="shared" si="0"/>
        <v>0.17443442016000002</v>
      </c>
      <c r="AL35" s="16">
        <v>32</v>
      </c>
      <c r="AM35" s="30">
        <v>44538</v>
      </c>
      <c r="AN35" s="31" t="s">
        <v>75</v>
      </c>
      <c r="AO35" s="32">
        <v>7750</v>
      </c>
      <c r="AP35" s="33" t="s">
        <v>34</v>
      </c>
      <c r="AQ35" s="33" t="s">
        <v>52</v>
      </c>
      <c r="AR35" s="27" t="s">
        <v>115</v>
      </c>
      <c r="AS35" s="35">
        <v>7082</v>
      </c>
      <c r="AT35" s="36">
        <f t="shared" si="6"/>
        <v>13115.864000000001</v>
      </c>
      <c r="AU35" s="35">
        <f>[2]REFERENCE!$E$39</f>
        <v>8.3999999999999995E-3</v>
      </c>
      <c r="AV35" s="37">
        <f t="shared" si="1"/>
        <v>0.85384274640000002</v>
      </c>
      <c r="AX35" s="16"/>
      <c r="AY35" s="43"/>
      <c r="AZ35" s="20"/>
      <c r="BA35" s="44"/>
      <c r="BB35" s="20"/>
      <c r="BC35" s="20"/>
      <c r="BD35" s="35"/>
      <c r="BE35" s="20"/>
      <c r="BF35" s="41"/>
    </row>
    <row r="36" spans="1:58" ht="16.5" thickBot="1" x14ac:dyDescent="0.4">
      <c r="A36" s="16">
        <v>33</v>
      </c>
      <c r="B36" s="45">
        <v>44652</v>
      </c>
      <c r="C36" s="44"/>
      <c r="D36" s="19">
        <v>50360.35</v>
      </c>
      <c r="E36" s="20" t="s">
        <v>29</v>
      </c>
      <c r="F36" s="20" t="s">
        <v>30</v>
      </c>
      <c r="G36" s="20">
        <v>236</v>
      </c>
      <c r="H36" s="20">
        <f t="shared" si="3"/>
        <v>1180</v>
      </c>
      <c r="I36" s="20"/>
      <c r="J36" s="20">
        <v>5</v>
      </c>
      <c r="K36" s="20">
        <f>[2]REFERENCE!$E$37</f>
        <v>0.59279999999999999</v>
      </c>
      <c r="L36" s="21">
        <f t="shared" si="4"/>
        <v>0.69950400000000001</v>
      </c>
      <c r="N36" s="16">
        <v>33</v>
      </c>
      <c r="O36" s="30">
        <v>44533</v>
      </c>
      <c r="P36" s="31" t="s">
        <v>44</v>
      </c>
      <c r="Q36" s="32">
        <v>24948</v>
      </c>
      <c r="R36" s="20" t="s">
        <v>32</v>
      </c>
      <c r="S36" s="33" t="s">
        <v>30</v>
      </c>
      <c r="T36" s="20">
        <v>645</v>
      </c>
      <c r="U36" s="27" t="s">
        <v>113</v>
      </c>
      <c r="V36" s="20"/>
      <c r="W36" s="20" t="s">
        <v>33</v>
      </c>
      <c r="X36" s="20">
        <f>[2]REFERENCE!$E$37</f>
        <v>0.59279999999999999</v>
      </c>
      <c r="Y36" s="21">
        <f t="shared" si="5"/>
        <v>0.38235599999999997</v>
      </c>
      <c r="AA36" s="29">
        <v>33</v>
      </c>
      <c r="AB36" s="30">
        <v>44581</v>
      </c>
      <c r="AC36" s="31" t="s">
        <v>49</v>
      </c>
      <c r="AD36" s="32">
        <v>25000</v>
      </c>
      <c r="AE36" s="20" t="s">
        <v>32</v>
      </c>
      <c r="AF36" s="33" t="s">
        <v>34</v>
      </c>
      <c r="AG36" s="20">
        <v>702</v>
      </c>
      <c r="AH36" s="20"/>
      <c r="AI36" s="34">
        <f>[2]REFERENCE!$E$38</f>
        <v>9.9600000000000001E-3</v>
      </c>
      <c r="AJ36" s="21">
        <f t="shared" si="0"/>
        <v>0.17479800000000001</v>
      </c>
      <c r="AL36" s="16">
        <v>33</v>
      </c>
      <c r="AM36" s="30">
        <v>44544</v>
      </c>
      <c r="AN36" s="38" t="s">
        <v>48</v>
      </c>
      <c r="AO36" s="32">
        <v>24946.184999999998</v>
      </c>
      <c r="AP36" s="33" t="s">
        <v>34</v>
      </c>
      <c r="AQ36" s="33" t="s">
        <v>35</v>
      </c>
      <c r="AR36" s="27" t="s">
        <v>114</v>
      </c>
      <c r="AS36" s="35">
        <v>9036</v>
      </c>
      <c r="AT36" s="36">
        <f t="shared" si="6"/>
        <v>16734.672000000002</v>
      </c>
      <c r="AU36" s="35">
        <f>[2]REFERENCE!$E$39</f>
        <v>8.3999999999999995E-3</v>
      </c>
      <c r="AV36" s="37">
        <f t="shared" si="1"/>
        <v>3.5067162784610879</v>
      </c>
      <c r="AX36" s="16"/>
      <c r="AY36" s="43"/>
      <c r="AZ36" s="20"/>
      <c r="BA36" s="44"/>
      <c r="BB36" s="20"/>
      <c r="BC36" s="20"/>
      <c r="BD36" s="35"/>
      <c r="BE36" s="20"/>
      <c r="BF36" s="41"/>
    </row>
    <row r="37" spans="1:58" ht="16.5" thickBot="1" x14ac:dyDescent="0.4">
      <c r="A37" s="16">
        <v>34</v>
      </c>
      <c r="B37" s="45">
        <v>44652</v>
      </c>
      <c r="C37" s="44"/>
      <c r="D37" s="19">
        <v>13730.01</v>
      </c>
      <c r="E37" s="20" t="s">
        <v>38</v>
      </c>
      <c r="F37" s="20" t="s">
        <v>30</v>
      </c>
      <c r="G37" s="20">
        <v>358</v>
      </c>
      <c r="H37" s="20">
        <f t="shared" si="3"/>
        <v>358</v>
      </c>
      <c r="I37" s="20"/>
      <c r="J37" s="20">
        <v>1</v>
      </c>
      <c r="K37" s="20">
        <f>[2]REFERENCE!$E$37</f>
        <v>0.59279999999999999</v>
      </c>
      <c r="L37" s="21">
        <f t="shared" si="4"/>
        <v>0.21222240000000001</v>
      </c>
      <c r="N37" s="16">
        <v>34</v>
      </c>
      <c r="O37" s="30">
        <v>44538</v>
      </c>
      <c r="P37" s="31" t="s">
        <v>75</v>
      </c>
      <c r="Q37" s="32">
        <v>7750</v>
      </c>
      <c r="R37" s="20" t="s">
        <v>32</v>
      </c>
      <c r="S37" s="33" t="s">
        <v>30</v>
      </c>
      <c r="T37" s="20">
        <v>645</v>
      </c>
      <c r="U37" s="27" t="s">
        <v>113</v>
      </c>
      <c r="V37" s="20"/>
      <c r="W37" s="20" t="s">
        <v>33</v>
      </c>
      <c r="X37" s="20">
        <f>[2]REFERENCE!$E$37</f>
        <v>0.59279999999999999</v>
      </c>
      <c r="Y37" s="21">
        <f t="shared" si="5"/>
        <v>0.38235599999999997</v>
      </c>
      <c r="AA37" s="29">
        <v>34</v>
      </c>
      <c r="AB37" s="30">
        <v>44581</v>
      </c>
      <c r="AC37" s="31" t="s">
        <v>78</v>
      </c>
      <c r="AD37" s="32">
        <v>400</v>
      </c>
      <c r="AE37" s="20" t="s">
        <v>32</v>
      </c>
      <c r="AF37" s="33" t="s">
        <v>34</v>
      </c>
      <c r="AG37" s="20">
        <v>702</v>
      </c>
      <c r="AH37" s="20"/>
      <c r="AI37" s="34">
        <f>[2]REFERENCE!$E$38</f>
        <v>9.9600000000000001E-3</v>
      </c>
      <c r="AJ37" s="21">
        <f t="shared" si="0"/>
        <v>2.7967679999999998E-3</v>
      </c>
      <c r="AL37" s="16">
        <v>34</v>
      </c>
      <c r="AM37" s="30">
        <v>44548</v>
      </c>
      <c r="AN37" s="31" t="s">
        <v>53</v>
      </c>
      <c r="AO37" s="32">
        <v>24946.184999999998</v>
      </c>
      <c r="AP37" s="82" t="s">
        <v>34</v>
      </c>
      <c r="AQ37" s="47" t="s">
        <v>35</v>
      </c>
      <c r="AR37" s="27" t="s">
        <v>114</v>
      </c>
      <c r="AS37" s="49">
        <v>9036</v>
      </c>
      <c r="AT37" s="36">
        <f t="shared" si="6"/>
        <v>16734.672000000002</v>
      </c>
      <c r="AU37" s="35">
        <f>[2]REFERENCE!$E$39</f>
        <v>8.3999999999999995E-3</v>
      </c>
      <c r="AV37" s="37">
        <f t="shared" si="1"/>
        <v>3.5067162784610879</v>
      </c>
      <c r="AX37" s="16"/>
      <c r="AY37" s="43"/>
      <c r="AZ37" s="20"/>
      <c r="BA37" s="44"/>
      <c r="BB37" s="20"/>
      <c r="BC37" s="20"/>
      <c r="BD37" s="35"/>
      <c r="BE37" s="20"/>
      <c r="BF37" s="41"/>
    </row>
    <row r="38" spans="1:58" ht="16.5" thickBot="1" x14ac:dyDescent="0.4">
      <c r="A38" s="16">
        <v>35</v>
      </c>
      <c r="B38" s="55">
        <v>44682</v>
      </c>
      <c r="C38" s="44" t="s">
        <v>28</v>
      </c>
      <c r="D38" s="19">
        <v>60011.48</v>
      </c>
      <c r="E38" s="20" t="s">
        <v>29</v>
      </c>
      <c r="F38" s="20" t="s">
        <v>30</v>
      </c>
      <c r="G38" s="20">
        <v>236</v>
      </c>
      <c r="H38" s="20">
        <f t="shared" si="3"/>
        <v>1416</v>
      </c>
      <c r="I38" s="20"/>
      <c r="J38" s="20">
        <v>6</v>
      </c>
      <c r="K38" s="20">
        <f>[2]REFERENCE!$E$37</f>
        <v>0.59279999999999999</v>
      </c>
      <c r="L38" s="21">
        <f t="shared" si="4"/>
        <v>0.83940480000000006</v>
      </c>
      <c r="N38" s="16">
        <v>35</v>
      </c>
      <c r="O38" s="30">
        <v>44544</v>
      </c>
      <c r="P38" s="38" t="s">
        <v>48</v>
      </c>
      <c r="Q38" s="32">
        <v>24946.184999999998</v>
      </c>
      <c r="R38" s="20" t="s">
        <v>32</v>
      </c>
      <c r="S38" s="33" t="s">
        <v>30</v>
      </c>
      <c r="T38" s="20">
        <v>645</v>
      </c>
      <c r="U38" s="27" t="s">
        <v>113</v>
      </c>
      <c r="V38" s="20"/>
      <c r="W38" s="20" t="s">
        <v>33</v>
      </c>
      <c r="X38" s="20">
        <f>[2]REFERENCE!$E$37</f>
        <v>0.59279999999999999</v>
      </c>
      <c r="Y38" s="21">
        <f t="shared" si="5"/>
        <v>0.38235599999999997</v>
      </c>
      <c r="AA38" s="29">
        <v>35</v>
      </c>
      <c r="AB38" s="30">
        <v>44586</v>
      </c>
      <c r="AC38" s="31" t="s">
        <v>47</v>
      </c>
      <c r="AD38" s="32">
        <v>24940</v>
      </c>
      <c r="AE38" s="20" t="s">
        <v>32</v>
      </c>
      <c r="AF38" s="33" t="s">
        <v>34</v>
      </c>
      <c r="AG38" s="20">
        <v>702</v>
      </c>
      <c r="AH38" s="20"/>
      <c r="AI38" s="34">
        <f>[2]REFERENCE!$E$38</f>
        <v>9.9600000000000001E-3</v>
      </c>
      <c r="AJ38" s="21">
        <f t="shared" si="0"/>
        <v>0.17437848480000001</v>
      </c>
      <c r="AL38" s="16">
        <v>35</v>
      </c>
      <c r="AM38" s="30">
        <v>44550</v>
      </c>
      <c r="AN38" s="31" t="s">
        <v>51</v>
      </c>
      <c r="AO38" s="32">
        <v>12500</v>
      </c>
      <c r="AP38" s="33" t="s">
        <v>34</v>
      </c>
      <c r="AQ38" s="33" t="s">
        <v>52</v>
      </c>
      <c r="AR38" s="27" t="s">
        <v>115</v>
      </c>
      <c r="AS38" s="35">
        <v>7082</v>
      </c>
      <c r="AT38" s="36">
        <f t="shared" si="6"/>
        <v>13115.864000000001</v>
      </c>
      <c r="AU38" s="35">
        <f>[2]REFERENCE!$E$39</f>
        <v>8.3999999999999995E-3</v>
      </c>
      <c r="AV38" s="37">
        <f t="shared" si="1"/>
        <v>1.3771657200000003</v>
      </c>
      <c r="AX38" s="16"/>
      <c r="AY38" s="43"/>
      <c r="AZ38" s="20"/>
      <c r="BA38" s="44"/>
      <c r="BB38" s="20"/>
      <c r="BC38" s="20"/>
      <c r="BD38" s="35"/>
      <c r="BE38" s="20"/>
      <c r="BF38" s="41"/>
    </row>
    <row r="39" spans="1:58" ht="16.5" thickBot="1" x14ac:dyDescent="0.4">
      <c r="A39" s="135"/>
      <c r="B39" s="136" t="s">
        <v>79</v>
      </c>
      <c r="C39" s="137"/>
      <c r="D39" s="138"/>
      <c r="E39" s="139"/>
      <c r="F39" s="139"/>
      <c r="G39" s="139"/>
      <c r="H39" s="20"/>
      <c r="I39" s="20"/>
      <c r="J39" s="20"/>
      <c r="K39" s="20">
        <f>[2]REFERENCE!$E$37</f>
        <v>0.59279999999999999</v>
      </c>
      <c r="L39" s="21">
        <f t="shared" si="4"/>
        <v>0</v>
      </c>
      <c r="N39" s="16">
        <v>36</v>
      </c>
      <c r="O39" s="30">
        <v>44548</v>
      </c>
      <c r="P39" s="31" t="s">
        <v>53</v>
      </c>
      <c r="Q39" s="32">
        <v>24946.184999999998</v>
      </c>
      <c r="R39" s="20" t="s">
        <v>32</v>
      </c>
      <c r="S39" s="33" t="s">
        <v>30</v>
      </c>
      <c r="T39" s="20">
        <v>645</v>
      </c>
      <c r="U39" s="27" t="s">
        <v>113</v>
      </c>
      <c r="V39" s="20"/>
      <c r="W39" s="20" t="s">
        <v>33</v>
      </c>
      <c r="X39" s="20">
        <f>[2]REFERENCE!$E$37</f>
        <v>0.59279999999999999</v>
      </c>
      <c r="Y39" s="21">
        <f t="shared" si="5"/>
        <v>0.38235599999999997</v>
      </c>
      <c r="AA39" s="29">
        <v>36</v>
      </c>
      <c r="AB39" s="30">
        <v>44587</v>
      </c>
      <c r="AC39" s="46" t="s">
        <v>47</v>
      </c>
      <c r="AD39" s="32">
        <v>24948</v>
      </c>
      <c r="AE39" s="20" t="s">
        <v>32</v>
      </c>
      <c r="AF39" s="33" t="s">
        <v>34</v>
      </c>
      <c r="AG39" s="20">
        <v>702</v>
      </c>
      <c r="AH39" s="20"/>
      <c r="AI39" s="34">
        <f>[2]REFERENCE!$E$38</f>
        <v>9.9600000000000001E-3</v>
      </c>
      <c r="AJ39" s="21">
        <f t="shared" si="0"/>
        <v>0.17443442016000002</v>
      </c>
      <c r="AL39" s="16">
        <v>36</v>
      </c>
      <c r="AM39" s="30">
        <v>44553</v>
      </c>
      <c r="AN39" s="38" t="s">
        <v>51</v>
      </c>
      <c r="AO39" s="32">
        <v>12500</v>
      </c>
      <c r="AP39" s="33" t="s">
        <v>34</v>
      </c>
      <c r="AQ39" s="33" t="s">
        <v>43</v>
      </c>
      <c r="AR39" s="27" t="s">
        <v>115</v>
      </c>
      <c r="AS39" s="35">
        <v>7082</v>
      </c>
      <c r="AT39" s="36">
        <f t="shared" si="6"/>
        <v>13115.864000000001</v>
      </c>
      <c r="AU39" s="35">
        <f>[2]REFERENCE!$E$39</f>
        <v>8.3999999999999995E-3</v>
      </c>
      <c r="AV39" s="37">
        <f t="shared" si="1"/>
        <v>1.3771657200000003</v>
      </c>
      <c r="AX39" s="16"/>
      <c r="AY39" s="43"/>
      <c r="AZ39" s="20"/>
      <c r="BA39" s="44"/>
      <c r="BB39" s="20"/>
      <c r="BC39" s="20"/>
      <c r="BD39" s="35"/>
      <c r="BE39" s="20"/>
      <c r="BF39" s="41"/>
    </row>
    <row r="40" spans="1:58" ht="16.5" thickBot="1" x14ac:dyDescent="0.4">
      <c r="A40" s="20">
        <v>1</v>
      </c>
      <c r="B40" s="30">
        <v>44401</v>
      </c>
      <c r="C40" s="33" t="s">
        <v>39</v>
      </c>
      <c r="D40" s="32">
        <v>25000</v>
      </c>
      <c r="E40" s="33" t="s">
        <v>80</v>
      </c>
      <c r="F40" s="33" t="s">
        <v>71</v>
      </c>
      <c r="G40" s="20"/>
      <c r="H40" s="35">
        <v>645</v>
      </c>
      <c r="I40" s="20"/>
      <c r="J40" s="20"/>
      <c r="K40" s="20">
        <f>[2]REFERENCE!$E$37</f>
        <v>0.59279999999999999</v>
      </c>
      <c r="L40" s="21">
        <f t="shared" si="4"/>
        <v>0.38235599999999997</v>
      </c>
      <c r="N40" s="16">
        <v>37</v>
      </c>
      <c r="O40" s="30">
        <v>44550</v>
      </c>
      <c r="P40" s="31" t="s">
        <v>51</v>
      </c>
      <c r="Q40" s="32">
        <v>12500</v>
      </c>
      <c r="R40" s="20" t="s">
        <v>32</v>
      </c>
      <c r="S40" s="33" t="s">
        <v>30</v>
      </c>
      <c r="T40" s="20">
        <v>645</v>
      </c>
      <c r="U40" s="27" t="s">
        <v>113</v>
      </c>
      <c r="V40" s="20"/>
      <c r="W40" s="20" t="s">
        <v>33</v>
      </c>
      <c r="X40" s="20">
        <f>[2]REFERENCE!$E$37</f>
        <v>0.59279999999999999</v>
      </c>
      <c r="Y40" s="21">
        <f t="shared" si="5"/>
        <v>0.38235599999999997</v>
      </c>
      <c r="AA40" s="29">
        <v>37</v>
      </c>
      <c r="AB40" s="30">
        <v>44589</v>
      </c>
      <c r="AC40" s="31" t="s">
        <v>49</v>
      </c>
      <c r="AD40" s="32">
        <v>25000</v>
      </c>
      <c r="AE40" s="20" t="s">
        <v>32</v>
      </c>
      <c r="AF40" s="33" t="s">
        <v>34</v>
      </c>
      <c r="AG40" s="20">
        <v>702</v>
      </c>
      <c r="AH40" s="20"/>
      <c r="AI40" s="34">
        <f>[2]REFERENCE!$E$38</f>
        <v>9.9600000000000001E-3</v>
      </c>
      <c r="AJ40" s="21">
        <f t="shared" si="0"/>
        <v>0.17479800000000001</v>
      </c>
      <c r="AL40" s="16">
        <v>37</v>
      </c>
      <c r="AM40" s="30">
        <v>44554</v>
      </c>
      <c r="AN40" s="38" t="s">
        <v>77</v>
      </c>
      <c r="AO40" s="32">
        <v>680.4</v>
      </c>
      <c r="AP40" s="33" t="s">
        <v>34</v>
      </c>
      <c r="AQ40" s="33" t="s">
        <v>52</v>
      </c>
      <c r="AR40" s="27" t="s">
        <v>114</v>
      </c>
      <c r="AS40" s="35">
        <v>7082</v>
      </c>
      <c r="AT40" s="36">
        <f t="shared" si="6"/>
        <v>13115.864000000001</v>
      </c>
      <c r="AU40" s="35">
        <f>[2]REFERENCE!$E$39</f>
        <v>8.3999999999999995E-3</v>
      </c>
      <c r="AV40" s="37">
        <f t="shared" si="1"/>
        <v>7.4961884471040005E-2</v>
      </c>
      <c r="AX40" s="16"/>
      <c r="AY40" s="43"/>
      <c r="AZ40" s="20"/>
      <c r="BA40" s="44"/>
      <c r="BB40" s="20"/>
      <c r="BC40" s="20"/>
      <c r="BD40" s="35"/>
      <c r="BE40" s="20"/>
      <c r="BF40" s="41"/>
    </row>
    <row r="41" spans="1:58" ht="16.5" thickBot="1" x14ac:dyDescent="0.4">
      <c r="A41" s="20">
        <v>2</v>
      </c>
      <c r="B41" s="30">
        <v>44408</v>
      </c>
      <c r="C41" s="38" t="s">
        <v>39</v>
      </c>
      <c r="D41" s="32">
        <v>25000</v>
      </c>
      <c r="E41" s="33" t="s">
        <v>80</v>
      </c>
      <c r="F41" s="33" t="s">
        <v>71</v>
      </c>
      <c r="G41" s="20"/>
      <c r="H41" s="35">
        <v>645</v>
      </c>
      <c r="I41" s="20"/>
      <c r="J41" s="20"/>
      <c r="K41" s="20">
        <f>[2]REFERENCE!$E$37</f>
        <v>0.59279999999999999</v>
      </c>
      <c r="L41" s="21">
        <f t="shared" si="4"/>
        <v>0.38235599999999997</v>
      </c>
      <c r="N41" s="16">
        <v>38</v>
      </c>
      <c r="O41" s="30">
        <v>44553</v>
      </c>
      <c r="P41" s="38" t="s">
        <v>51</v>
      </c>
      <c r="Q41" s="32">
        <v>12500</v>
      </c>
      <c r="R41" s="20" t="s">
        <v>32</v>
      </c>
      <c r="S41" s="33" t="s">
        <v>30</v>
      </c>
      <c r="T41" s="20">
        <v>645</v>
      </c>
      <c r="U41" s="27" t="s">
        <v>113</v>
      </c>
      <c r="V41" s="20"/>
      <c r="W41" s="20" t="s">
        <v>33</v>
      </c>
      <c r="X41" s="20">
        <f>[2]REFERENCE!$E$37</f>
        <v>0.59279999999999999</v>
      </c>
      <c r="Y41" s="21">
        <f t="shared" si="5"/>
        <v>0.38235599999999997</v>
      </c>
      <c r="AA41" s="29">
        <v>38</v>
      </c>
      <c r="AB41" s="30">
        <v>44590</v>
      </c>
      <c r="AC41" s="31" t="s">
        <v>51</v>
      </c>
      <c r="AD41" s="32">
        <v>12500</v>
      </c>
      <c r="AE41" s="20" t="s">
        <v>32</v>
      </c>
      <c r="AF41" s="33" t="s">
        <v>34</v>
      </c>
      <c r="AG41" s="20">
        <v>702</v>
      </c>
      <c r="AH41" s="20"/>
      <c r="AI41" s="34">
        <f>[2]REFERENCE!$E$38</f>
        <v>9.9600000000000001E-3</v>
      </c>
      <c r="AJ41" s="21">
        <f t="shared" si="0"/>
        <v>8.7399000000000004E-2</v>
      </c>
      <c r="AL41" s="16">
        <v>38</v>
      </c>
      <c r="AM41" s="30">
        <v>44562</v>
      </c>
      <c r="AN41" s="31" t="s">
        <v>47</v>
      </c>
      <c r="AO41" s="32">
        <v>24948</v>
      </c>
      <c r="AP41" s="33" t="s">
        <v>34</v>
      </c>
      <c r="AQ41" s="33" t="s">
        <v>35</v>
      </c>
      <c r="AR41" s="27" t="s">
        <v>114</v>
      </c>
      <c r="AS41" s="35">
        <v>9036</v>
      </c>
      <c r="AT41" s="36">
        <f t="shared" si="6"/>
        <v>16734.672000000002</v>
      </c>
      <c r="AU41" s="35">
        <f>[2]REFERENCE!$E$39</f>
        <v>8.3999999999999995E-3</v>
      </c>
      <c r="AV41" s="37">
        <f t="shared" si="1"/>
        <v>3.5069714152704003</v>
      </c>
      <c r="AX41" s="16"/>
      <c r="AY41" s="43"/>
      <c r="AZ41" s="20"/>
      <c r="BA41" s="44"/>
      <c r="BB41" s="20"/>
      <c r="BC41" s="20"/>
      <c r="BD41" s="35"/>
      <c r="BE41" s="20"/>
      <c r="BF41" s="41"/>
    </row>
    <row r="42" spans="1:58" ht="16.5" thickBot="1" x14ac:dyDescent="0.4">
      <c r="A42" s="20">
        <v>3</v>
      </c>
      <c r="B42" s="30">
        <v>44433</v>
      </c>
      <c r="C42" s="31" t="s">
        <v>39</v>
      </c>
      <c r="D42" s="32">
        <v>25000</v>
      </c>
      <c r="E42" s="33" t="s">
        <v>80</v>
      </c>
      <c r="F42" s="33" t="s">
        <v>71</v>
      </c>
      <c r="G42" s="20"/>
      <c r="H42" s="35">
        <v>645</v>
      </c>
      <c r="I42" s="20"/>
      <c r="J42" s="20"/>
      <c r="K42" s="20">
        <f>[2]REFERENCE!$E$37</f>
        <v>0.59279999999999999</v>
      </c>
      <c r="L42" s="21">
        <f t="shared" si="4"/>
        <v>0.38235599999999997</v>
      </c>
      <c r="N42" s="16">
        <v>39</v>
      </c>
      <c r="O42" s="30">
        <v>44554</v>
      </c>
      <c r="P42" s="38" t="s">
        <v>77</v>
      </c>
      <c r="Q42" s="32">
        <v>680.4</v>
      </c>
      <c r="R42" s="20" t="s">
        <v>32</v>
      </c>
      <c r="S42" s="33" t="s">
        <v>30</v>
      </c>
      <c r="T42" s="20">
        <v>645</v>
      </c>
      <c r="U42" s="27" t="s">
        <v>113</v>
      </c>
      <c r="V42" s="20"/>
      <c r="W42" s="20" t="s">
        <v>33</v>
      </c>
      <c r="X42" s="20">
        <f>[2]REFERENCE!$E$37</f>
        <v>0.59279999999999999</v>
      </c>
      <c r="Y42" s="21">
        <f t="shared" si="5"/>
        <v>0.38235599999999997</v>
      </c>
      <c r="AA42" s="29">
        <v>39</v>
      </c>
      <c r="AB42" s="30">
        <v>44596</v>
      </c>
      <c r="AC42" s="31" t="s">
        <v>53</v>
      </c>
      <c r="AD42" s="32">
        <v>24948</v>
      </c>
      <c r="AE42" s="20" t="s">
        <v>32</v>
      </c>
      <c r="AF42" s="33" t="s">
        <v>34</v>
      </c>
      <c r="AG42" s="20">
        <v>702</v>
      </c>
      <c r="AH42" s="20"/>
      <c r="AI42" s="34">
        <f>[2]REFERENCE!$E$38</f>
        <v>9.9600000000000001E-3</v>
      </c>
      <c r="AJ42" s="21">
        <f t="shared" si="0"/>
        <v>0.17443442016000002</v>
      </c>
      <c r="AL42" s="16">
        <v>39</v>
      </c>
      <c r="AM42" s="30">
        <v>44566</v>
      </c>
      <c r="AN42" s="31" t="s">
        <v>50</v>
      </c>
      <c r="AO42" s="32">
        <v>24948</v>
      </c>
      <c r="AP42" s="82" t="s">
        <v>34</v>
      </c>
      <c r="AQ42" s="47" t="s">
        <v>35</v>
      </c>
      <c r="AR42" s="27" t="s">
        <v>114</v>
      </c>
      <c r="AS42" s="49">
        <v>9036</v>
      </c>
      <c r="AT42" s="36">
        <f t="shared" si="6"/>
        <v>16734.672000000002</v>
      </c>
      <c r="AU42" s="35">
        <f>[2]REFERENCE!$E$39</f>
        <v>8.3999999999999995E-3</v>
      </c>
      <c r="AV42" s="37">
        <f t="shared" si="1"/>
        <v>3.5069714152704003</v>
      </c>
      <c r="AX42" s="16"/>
      <c r="AY42" s="43"/>
      <c r="AZ42" s="20"/>
      <c r="BA42" s="44"/>
      <c r="BB42" s="20"/>
      <c r="BC42" s="20"/>
      <c r="BD42" s="35"/>
      <c r="BE42" s="20"/>
      <c r="BF42" s="41"/>
    </row>
    <row r="43" spans="1:58" ht="16.5" thickBot="1" x14ac:dyDescent="0.4">
      <c r="A43" s="20">
        <v>4</v>
      </c>
      <c r="B43" s="30">
        <v>44433</v>
      </c>
      <c r="C43" s="31" t="s">
        <v>39</v>
      </c>
      <c r="D43" s="32">
        <v>25000</v>
      </c>
      <c r="E43" s="33" t="s">
        <v>80</v>
      </c>
      <c r="F43" s="33" t="s">
        <v>71</v>
      </c>
      <c r="G43" s="20"/>
      <c r="H43" s="35">
        <v>645</v>
      </c>
      <c r="I43" s="20"/>
      <c r="J43" s="20"/>
      <c r="K43" s="20">
        <f>[2]REFERENCE!$E$37</f>
        <v>0.59279999999999999</v>
      </c>
      <c r="L43" s="21">
        <f t="shared" si="4"/>
        <v>0.38235599999999997</v>
      </c>
      <c r="N43" s="16">
        <v>40</v>
      </c>
      <c r="O43" s="30">
        <v>44562</v>
      </c>
      <c r="P43" s="31" t="s">
        <v>47</v>
      </c>
      <c r="Q43" s="32">
        <v>24948</v>
      </c>
      <c r="R43" s="20" t="s">
        <v>32</v>
      </c>
      <c r="S43" s="33" t="s">
        <v>30</v>
      </c>
      <c r="T43" s="20">
        <v>645</v>
      </c>
      <c r="U43" s="27" t="s">
        <v>113</v>
      </c>
      <c r="V43" s="20"/>
      <c r="W43" s="20" t="s">
        <v>33</v>
      </c>
      <c r="X43" s="20">
        <f>[2]REFERENCE!$E$37</f>
        <v>0.59279999999999999</v>
      </c>
      <c r="Y43" s="21">
        <f t="shared" si="5"/>
        <v>0.38235599999999997</v>
      </c>
      <c r="AA43" s="29">
        <v>40</v>
      </c>
      <c r="AB43" s="30">
        <v>44596</v>
      </c>
      <c r="AC43" s="46" t="s">
        <v>46</v>
      </c>
      <c r="AD43" s="32">
        <v>24948</v>
      </c>
      <c r="AE43" s="20" t="s">
        <v>32</v>
      </c>
      <c r="AF43" s="33" t="s">
        <v>34</v>
      </c>
      <c r="AG43" s="20">
        <v>702</v>
      </c>
      <c r="AH43" s="20"/>
      <c r="AI43" s="34">
        <f>[2]REFERENCE!$E$38</f>
        <v>9.9600000000000001E-3</v>
      </c>
      <c r="AJ43" s="21">
        <f t="shared" si="0"/>
        <v>0.17443442016000002</v>
      </c>
      <c r="AL43" s="16">
        <v>40</v>
      </c>
      <c r="AM43" s="30">
        <v>44581</v>
      </c>
      <c r="AN43" s="46" t="s">
        <v>49</v>
      </c>
      <c r="AO43" s="32">
        <v>25000</v>
      </c>
      <c r="AP43" s="33" t="s">
        <v>34</v>
      </c>
      <c r="AQ43" s="33" t="s">
        <v>40</v>
      </c>
      <c r="AR43" s="27" t="s">
        <v>114</v>
      </c>
      <c r="AS43" s="35">
        <v>3447</v>
      </c>
      <c r="AT43" s="36">
        <f t="shared" si="6"/>
        <v>6383.8440000000001</v>
      </c>
      <c r="AU43" s="35">
        <f>[2]REFERENCE!$E$39</f>
        <v>8.3999999999999995E-3</v>
      </c>
      <c r="AV43" s="37">
        <f t="shared" si="1"/>
        <v>1.34060724</v>
      </c>
      <c r="AX43" s="16"/>
      <c r="AY43" s="43"/>
      <c r="AZ43" s="20"/>
      <c r="BA43" s="44"/>
      <c r="BB43" s="20"/>
      <c r="BC43" s="20"/>
      <c r="BD43" s="35"/>
      <c r="BE43" s="20"/>
      <c r="BF43" s="41"/>
    </row>
    <row r="44" spans="1:58" ht="16.5" thickBot="1" x14ac:dyDescent="0.4">
      <c r="A44" s="20">
        <v>5</v>
      </c>
      <c r="B44" s="30">
        <v>44456</v>
      </c>
      <c r="C44" s="38" t="s">
        <v>67</v>
      </c>
      <c r="D44" s="32">
        <v>50</v>
      </c>
      <c r="E44" s="33" t="s">
        <v>80</v>
      </c>
      <c r="F44" s="33" t="s">
        <v>30</v>
      </c>
      <c r="G44" s="20"/>
      <c r="H44" s="35">
        <v>21</v>
      </c>
      <c r="I44" s="20"/>
      <c r="J44" s="20"/>
      <c r="K44" s="20">
        <f>[2]REFERENCE!$E$37</f>
        <v>0.59279999999999999</v>
      </c>
      <c r="L44" s="21">
        <f t="shared" si="4"/>
        <v>1.2448799999999999E-2</v>
      </c>
      <c r="N44" s="16">
        <v>41</v>
      </c>
      <c r="O44" s="30">
        <v>44566</v>
      </c>
      <c r="P44" s="31" t="s">
        <v>50</v>
      </c>
      <c r="Q44" s="32">
        <v>24948</v>
      </c>
      <c r="R44" s="20" t="s">
        <v>32</v>
      </c>
      <c r="S44" s="33" t="s">
        <v>30</v>
      </c>
      <c r="T44" s="20">
        <v>645</v>
      </c>
      <c r="U44" s="27" t="s">
        <v>113</v>
      </c>
      <c r="V44" s="20"/>
      <c r="W44" s="20" t="s">
        <v>33</v>
      </c>
      <c r="X44" s="20">
        <f>[2]REFERENCE!$E$37</f>
        <v>0.59279999999999999</v>
      </c>
      <c r="Y44" s="21">
        <f t="shared" si="5"/>
        <v>0.38235599999999997</v>
      </c>
      <c r="AA44" s="29">
        <v>41</v>
      </c>
      <c r="AB44" s="30">
        <v>44597</v>
      </c>
      <c r="AC44" s="31" t="s">
        <v>51</v>
      </c>
      <c r="AD44" s="32">
        <v>11000</v>
      </c>
      <c r="AE44" s="20" t="s">
        <v>32</v>
      </c>
      <c r="AF44" s="33" t="s">
        <v>34</v>
      </c>
      <c r="AG44" s="20">
        <v>702</v>
      </c>
      <c r="AH44" s="20"/>
      <c r="AI44" s="34">
        <f>[2]REFERENCE!$E$38</f>
        <v>9.9600000000000001E-3</v>
      </c>
      <c r="AJ44" s="21">
        <f t="shared" si="0"/>
        <v>7.6911119999999999E-2</v>
      </c>
      <c r="AL44" s="16">
        <v>41</v>
      </c>
      <c r="AM44" s="30">
        <v>44581</v>
      </c>
      <c r="AN44" s="31" t="s">
        <v>78</v>
      </c>
      <c r="AO44" s="32">
        <v>400</v>
      </c>
      <c r="AP44" s="33" t="s">
        <v>34</v>
      </c>
      <c r="AQ44" s="33" t="s">
        <v>40</v>
      </c>
      <c r="AR44" s="27" t="s">
        <v>114</v>
      </c>
      <c r="AS44" s="35">
        <v>3447</v>
      </c>
      <c r="AT44" s="36">
        <f t="shared" si="6"/>
        <v>6383.8440000000001</v>
      </c>
      <c r="AU44" s="35">
        <f>[2]REFERENCE!$E$39</f>
        <v>8.3999999999999995E-3</v>
      </c>
      <c r="AV44" s="37">
        <f t="shared" si="1"/>
        <v>2.1449715840000001E-2</v>
      </c>
      <c r="AX44" s="16"/>
      <c r="AY44" s="43"/>
      <c r="AZ44" s="20"/>
      <c r="BA44" s="44"/>
      <c r="BB44" s="20"/>
      <c r="BC44" s="20"/>
      <c r="BD44" s="35"/>
      <c r="BE44" s="20"/>
      <c r="BF44" s="41"/>
    </row>
    <row r="45" spans="1:58" ht="16.5" thickBot="1" x14ac:dyDescent="0.4">
      <c r="A45" s="20">
        <v>6</v>
      </c>
      <c r="B45" s="30">
        <v>44462</v>
      </c>
      <c r="C45" s="38" t="s">
        <v>39</v>
      </c>
      <c r="D45" s="32">
        <v>25000</v>
      </c>
      <c r="E45" s="33" t="s">
        <v>80</v>
      </c>
      <c r="F45" s="33" t="s">
        <v>71</v>
      </c>
      <c r="G45" s="20"/>
      <c r="H45" s="35">
        <v>645</v>
      </c>
      <c r="I45" s="20"/>
      <c r="J45" s="20"/>
      <c r="K45" s="20">
        <f>[2]REFERENCE!$E$37</f>
        <v>0.59279999999999999</v>
      </c>
      <c r="L45" s="21">
        <f t="shared" si="4"/>
        <v>0.38235599999999997</v>
      </c>
      <c r="N45" s="16">
        <v>42</v>
      </c>
      <c r="O45" s="30">
        <v>44581</v>
      </c>
      <c r="P45" s="46" t="s">
        <v>49</v>
      </c>
      <c r="Q45" s="32">
        <v>25000</v>
      </c>
      <c r="R45" s="20" t="s">
        <v>32</v>
      </c>
      <c r="S45" s="33" t="s">
        <v>30</v>
      </c>
      <c r="T45" s="20">
        <v>645</v>
      </c>
      <c r="U45" s="27" t="s">
        <v>113</v>
      </c>
      <c r="V45" s="20"/>
      <c r="W45" s="20" t="s">
        <v>33</v>
      </c>
      <c r="X45" s="20">
        <f>[2]REFERENCE!$E$37</f>
        <v>0.59279999999999999</v>
      </c>
      <c r="Y45" s="21">
        <f t="shared" si="5"/>
        <v>0.38235599999999997</v>
      </c>
      <c r="AA45" s="29">
        <v>42</v>
      </c>
      <c r="AB45" s="30">
        <v>44607</v>
      </c>
      <c r="AC45" s="31" t="s">
        <v>39</v>
      </c>
      <c r="AD45" s="32">
        <v>25000</v>
      </c>
      <c r="AE45" s="20" t="s">
        <v>32</v>
      </c>
      <c r="AF45" s="33" t="s">
        <v>34</v>
      </c>
      <c r="AG45" s="20">
        <v>702</v>
      </c>
      <c r="AH45" s="20"/>
      <c r="AI45" s="34">
        <f>[2]REFERENCE!$E$38</f>
        <v>9.9600000000000001E-3</v>
      </c>
      <c r="AJ45" s="21">
        <f t="shared" si="0"/>
        <v>0.17479800000000001</v>
      </c>
      <c r="AL45" s="16">
        <v>42</v>
      </c>
      <c r="AM45" s="30">
        <v>44586</v>
      </c>
      <c r="AN45" s="31" t="s">
        <v>47</v>
      </c>
      <c r="AO45" s="32">
        <v>24940</v>
      </c>
      <c r="AP45" s="33" t="s">
        <v>34</v>
      </c>
      <c r="AQ45" s="33" t="s">
        <v>35</v>
      </c>
      <c r="AR45" s="27" t="s">
        <v>114</v>
      </c>
      <c r="AS45" s="35">
        <v>9036</v>
      </c>
      <c r="AT45" s="36">
        <f t="shared" si="6"/>
        <v>16734.672000000002</v>
      </c>
      <c r="AU45" s="35">
        <f>[2]REFERENCE!$E$39</f>
        <v>8.3999999999999995E-3</v>
      </c>
      <c r="AV45" s="37">
        <f t="shared" si="1"/>
        <v>3.5058468453120004</v>
      </c>
      <c r="AX45" s="16"/>
      <c r="AY45" s="43"/>
      <c r="AZ45" s="20"/>
      <c r="BA45" s="44"/>
      <c r="BB45" s="20"/>
      <c r="BC45" s="20"/>
      <c r="BD45" s="35"/>
      <c r="BE45" s="20"/>
      <c r="BF45" s="41"/>
    </row>
    <row r="46" spans="1:58" ht="16.5" thickBot="1" x14ac:dyDescent="0.4">
      <c r="A46" s="20">
        <v>7</v>
      </c>
      <c r="B46" s="30">
        <v>44462</v>
      </c>
      <c r="C46" s="38" t="s">
        <v>39</v>
      </c>
      <c r="D46" s="32">
        <v>23750</v>
      </c>
      <c r="E46" s="33" t="s">
        <v>80</v>
      </c>
      <c r="F46" s="33" t="s">
        <v>71</v>
      </c>
      <c r="G46" s="20"/>
      <c r="H46" s="35">
        <v>645</v>
      </c>
      <c r="I46" s="20"/>
      <c r="J46" s="20"/>
      <c r="K46" s="20">
        <f>[2]REFERENCE!$E$37</f>
        <v>0.59279999999999999</v>
      </c>
      <c r="L46" s="21">
        <f t="shared" si="4"/>
        <v>0.38235599999999997</v>
      </c>
      <c r="N46" s="16">
        <v>43</v>
      </c>
      <c r="O46" s="30">
        <v>44581</v>
      </c>
      <c r="P46" s="31" t="s">
        <v>78</v>
      </c>
      <c r="Q46" s="32">
        <v>400</v>
      </c>
      <c r="R46" s="20" t="s">
        <v>32</v>
      </c>
      <c r="S46" s="33" t="s">
        <v>30</v>
      </c>
      <c r="T46" s="20">
        <v>645</v>
      </c>
      <c r="U46" s="27" t="s">
        <v>113</v>
      </c>
      <c r="V46" s="20"/>
      <c r="W46" s="20" t="s">
        <v>33</v>
      </c>
      <c r="X46" s="20">
        <f>[2]REFERENCE!$E$37</f>
        <v>0.59279999999999999</v>
      </c>
      <c r="Y46" s="21">
        <f t="shared" si="5"/>
        <v>0.38235599999999997</v>
      </c>
      <c r="AA46" s="29">
        <v>43</v>
      </c>
      <c r="AB46" s="30">
        <v>44608</v>
      </c>
      <c r="AC46" s="46" t="s">
        <v>49</v>
      </c>
      <c r="AD46" s="32">
        <v>23750</v>
      </c>
      <c r="AE46" s="20" t="s">
        <v>32</v>
      </c>
      <c r="AF46" s="33" t="s">
        <v>34</v>
      </c>
      <c r="AG46" s="20">
        <v>702</v>
      </c>
      <c r="AH46" s="20"/>
      <c r="AI46" s="34">
        <f>[2]REFERENCE!$E$38</f>
        <v>9.9600000000000001E-3</v>
      </c>
      <c r="AJ46" s="21">
        <f t="shared" si="0"/>
        <v>0.16605810000000001</v>
      </c>
      <c r="AL46" s="16">
        <v>43</v>
      </c>
      <c r="AM46" s="30">
        <v>44587</v>
      </c>
      <c r="AN46" s="38" t="s">
        <v>47</v>
      </c>
      <c r="AO46" s="32">
        <v>24948</v>
      </c>
      <c r="AP46" s="33" t="s">
        <v>34</v>
      </c>
      <c r="AQ46" s="33" t="s">
        <v>35</v>
      </c>
      <c r="AR46" s="27" t="s">
        <v>114</v>
      </c>
      <c r="AS46" s="35">
        <v>9036</v>
      </c>
      <c r="AT46" s="36">
        <f t="shared" si="6"/>
        <v>16734.672000000002</v>
      </c>
      <c r="AU46" s="35">
        <f>[2]REFERENCE!$E$39</f>
        <v>8.3999999999999995E-3</v>
      </c>
      <c r="AV46" s="37">
        <f t="shared" si="1"/>
        <v>3.5069714152704003</v>
      </c>
      <c r="AX46" s="16"/>
      <c r="AY46" s="43"/>
      <c r="AZ46" s="20"/>
      <c r="BA46" s="44"/>
      <c r="BB46" s="20"/>
      <c r="BC46" s="20"/>
      <c r="BD46" s="35"/>
      <c r="BE46" s="20"/>
      <c r="BF46" s="41"/>
    </row>
    <row r="47" spans="1:58" ht="16.5" thickBot="1" x14ac:dyDescent="0.4">
      <c r="A47" s="20">
        <v>8</v>
      </c>
      <c r="B47" s="30">
        <v>44466</v>
      </c>
      <c r="C47" s="38" t="s">
        <v>39</v>
      </c>
      <c r="D47" s="32">
        <v>25000</v>
      </c>
      <c r="E47" s="33" t="s">
        <v>80</v>
      </c>
      <c r="F47" s="33" t="s">
        <v>71</v>
      </c>
      <c r="G47" s="20"/>
      <c r="H47" s="35">
        <v>645</v>
      </c>
      <c r="I47" s="20"/>
      <c r="J47" s="20"/>
      <c r="K47" s="20">
        <f>[2]REFERENCE!$E$37</f>
        <v>0.59279999999999999</v>
      </c>
      <c r="L47" s="21">
        <f t="shared" si="4"/>
        <v>0.38235599999999997</v>
      </c>
      <c r="N47" s="16">
        <v>44</v>
      </c>
      <c r="O47" s="30">
        <v>44586</v>
      </c>
      <c r="P47" s="31" t="s">
        <v>47</v>
      </c>
      <c r="Q47" s="32">
        <v>24940</v>
      </c>
      <c r="R47" s="20" t="s">
        <v>32</v>
      </c>
      <c r="S47" s="33" t="s">
        <v>30</v>
      </c>
      <c r="T47" s="20">
        <v>645</v>
      </c>
      <c r="U47" s="27" t="s">
        <v>113</v>
      </c>
      <c r="V47" s="20"/>
      <c r="W47" s="20" t="s">
        <v>33</v>
      </c>
      <c r="X47" s="20">
        <f>[2]REFERENCE!$E$37</f>
        <v>0.59279999999999999</v>
      </c>
      <c r="Y47" s="21">
        <f t="shared" si="5"/>
        <v>0.38235599999999997</v>
      </c>
      <c r="AA47" s="29">
        <v>44</v>
      </c>
      <c r="AB47" s="30">
        <v>44609</v>
      </c>
      <c r="AC47" s="31" t="s">
        <v>46</v>
      </c>
      <c r="AD47" s="32">
        <v>24948</v>
      </c>
      <c r="AE47" s="20" t="s">
        <v>32</v>
      </c>
      <c r="AF47" s="33" t="s">
        <v>34</v>
      </c>
      <c r="AG47" s="20">
        <v>702</v>
      </c>
      <c r="AH47" s="20"/>
      <c r="AI47" s="34">
        <f>[2]REFERENCE!$E$38</f>
        <v>9.9600000000000001E-3</v>
      </c>
      <c r="AJ47" s="21">
        <f t="shared" si="0"/>
        <v>0.17443442016000002</v>
      </c>
      <c r="AL47" s="16">
        <v>44</v>
      </c>
      <c r="AM47" s="30">
        <v>44589</v>
      </c>
      <c r="AN47" s="38" t="s">
        <v>49</v>
      </c>
      <c r="AO47" s="32">
        <v>25000</v>
      </c>
      <c r="AP47" s="33" t="s">
        <v>34</v>
      </c>
      <c r="AQ47" s="33" t="s">
        <v>40</v>
      </c>
      <c r="AR47" s="27" t="s">
        <v>114</v>
      </c>
      <c r="AS47" s="35">
        <v>3447</v>
      </c>
      <c r="AT47" s="36">
        <f t="shared" si="6"/>
        <v>6383.8440000000001</v>
      </c>
      <c r="AU47" s="35">
        <f>[2]REFERENCE!$E$39</f>
        <v>8.3999999999999995E-3</v>
      </c>
      <c r="AV47" s="37">
        <f t="shared" si="1"/>
        <v>1.34060724</v>
      </c>
      <c r="AX47" s="16"/>
      <c r="AY47" s="43"/>
      <c r="AZ47" s="20"/>
      <c r="BA47" s="44"/>
      <c r="BB47" s="20"/>
      <c r="BC47" s="20"/>
      <c r="BD47" s="35"/>
      <c r="BE47" s="20"/>
      <c r="BF47" s="41"/>
    </row>
    <row r="48" spans="1:58" ht="16.5" thickBot="1" x14ac:dyDescent="0.4">
      <c r="A48" s="20">
        <v>9</v>
      </c>
      <c r="B48" s="30">
        <v>44470</v>
      </c>
      <c r="C48" s="38" t="s">
        <v>70</v>
      </c>
      <c r="D48" s="32">
        <v>25</v>
      </c>
      <c r="E48" s="33" t="s">
        <v>80</v>
      </c>
      <c r="F48" s="33" t="s">
        <v>30</v>
      </c>
      <c r="G48" s="20"/>
      <c r="H48" s="35">
        <v>21</v>
      </c>
      <c r="I48" s="20"/>
      <c r="J48" s="20"/>
      <c r="K48" s="20">
        <f>[2]REFERENCE!$E$37</f>
        <v>0.59279999999999999</v>
      </c>
      <c r="L48" s="21">
        <f t="shared" si="4"/>
        <v>1.2448799999999999E-2</v>
      </c>
      <c r="N48" s="16">
        <v>45</v>
      </c>
      <c r="O48" s="30">
        <v>44587</v>
      </c>
      <c r="P48" s="38" t="s">
        <v>47</v>
      </c>
      <c r="Q48" s="32">
        <v>24948</v>
      </c>
      <c r="R48" s="20" t="s">
        <v>32</v>
      </c>
      <c r="S48" s="33" t="s">
        <v>30</v>
      </c>
      <c r="T48" s="20">
        <v>645</v>
      </c>
      <c r="U48" s="27" t="s">
        <v>113</v>
      </c>
      <c r="V48" s="20"/>
      <c r="W48" s="20" t="s">
        <v>33</v>
      </c>
      <c r="X48" s="20">
        <f>[2]REFERENCE!$E$37</f>
        <v>0.59279999999999999</v>
      </c>
      <c r="Y48" s="21">
        <f t="shared" si="5"/>
        <v>0.38235599999999997</v>
      </c>
      <c r="AA48" s="29">
        <v>45</v>
      </c>
      <c r="AB48" s="30">
        <v>44610</v>
      </c>
      <c r="AC48" s="31" t="s">
        <v>45</v>
      </c>
      <c r="AD48" s="32">
        <v>24948</v>
      </c>
      <c r="AE48" s="20" t="s">
        <v>32</v>
      </c>
      <c r="AF48" s="33" t="s">
        <v>34</v>
      </c>
      <c r="AG48" s="20">
        <v>702</v>
      </c>
      <c r="AH48" s="20"/>
      <c r="AI48" s="34">
        <f>[2]REFERENCE!$E$38</f>
        <v>9.9600000000000001E-3</v>
      </c>
      <c r="AJ48" s="21">
        <f t="shared" si="0"/>
        <v>0.17443442016000002</v>
      </c>
      <c r="AL48" s="16">
        <v>45</v>
      </c>
      <c r="AM48" s="30">
        <v>44590</v>
      </c>
      <c r="AN48" s="31" t="s">
        <v>51</v>
      </c>
      <c r="AO48" s="32">
        <v>12500</v>
      </c>
      <c r="AP48" s="33" t="s">
        <v>34</v>
      </c>
      <c r="AQ48" s="33" t="s">
        <v>52</v>
      </c>
      <c r="AR48" s="27" t="s">
        <v>115</v>
      </c>
      <c r="AS48" s="35">
        <v>7082</v>
      </c>
      <c r="AT48" s="36">
        <f t="shared" si="6"/>
        <v>13115.864000000001</v>
      </c>
      <c r="AU48" s="35">
        <f>[2]REFERENCE!$E$39</f>
        <v>8.3999999999999995E-3</v>
      </c>
      <c r="AV48" s="37">
        <f t="shared" si="1"/>
        <v>1.3771657200000003</v>
      </c>
      <c r="AX48" s="16"/>
      <c r="AY48" s="43"/>
      <c r="AZ48" s="20"/>
      <c r="BA48" s="44"/>
      <c r="BB48" s="20"/>
      <c r="BC48" s="20"/>
      <c r="BD48" s="35"/>
      <c r="BE48" s="20"/>
      <c r="BF48" s="41"/>
    </row>
    <row r="49" spans="1:58" ht="16.5" thickBot="1" x14ac:dyDescent="0.4">
      <c r="A49" s="60" t="s">
        <v>60</v>
      </c>
      <c r="B49" s="61"/>
      <c r="C49" s="61"/>
      <c r="D49" s="62">
        <f>SUM(D4:D48)</f>
        <v>1985825.9600000002</v>
      </c>
      <c r="E49" s="63"/>
      <c r="F49" s="63"/>
      <c r="G49" s="62">
        <f>SUM(G4:G48)</f>
        <v>6412</v>
      </c>
      <c r="H49" s="62">
        <f>SUM(H4:H48)</f>
        <v>33805</v>
      </c>
      <c r="I49" s="63"/>
      <c r="J49" s="63"/>
      <c r="K49" s="63"/>
      <c r="L49" s="63">
        <f>SUM(L4:L48)</f>
        <v>20.039604000000015</v>
      </c>
      <c r="N49" s="16">
        <v>46</v>
      </c>
      <c r="O49" s="30">
        <v>44589</v>
      </c>
      <c r="P49" s="38" t="s">
        <v>49</v>
      </c>
      <c r="Q49" s="32">
        <v>25000</v>
      </c>
      <c r="R49" s="20" t="s">
        <v>32</v>
      </c>
      <c r="S49" s="33" t="s">
        <v>30</v>
      </c>
      <c r="T49" s="20">
        <v>645</v>
      </c>
      <c r="U49" s="27" t="s">
        <v>113</v>
      </c>
      <c r="V49" s="20"/>
      <c r="W49" s="20" t="s">
        <v>33</v>
      </c>
      <c r="X49" s="20">
        <f>[2]REFERENCE!$E$37</f>
        <v>0.59279999999999999</v>
      </c>
      <c r="Y49" s="21">
        <f t="shared" si="5"/>
        <v>0.38235599999999997</v>
      </c>
      <c r="AA49" s="29">
        <v>46</v>
      </c>
      <c r="AB49" s="30">
        <v>44614</v>
      </c>
      <c r="AC49" s="46" t="s">
        <v>47</v>
      </c>
      <c r="AD49" s="32">
        <v>24946.9</v>
      </c>
      <c r="AE49" s="20" t="s">
        <v>32</v>
      </c>
      <c r="AF49" s="33" t="s">
        <v>34</v>
      </c>
      <c r="AG49" s="20">
        <v>702</v>
      </c>
      <c r="AH49" s="64"/>
      <c r="AI49" s="34">
        <f>[2]REFERENCE!$E$38</f>
        <v>9.9600000000000001E-3</v>
      </c>
      <c r="AJ49" s="21">
        <f t="shared" si="0"/>
        <v>0.174426729048</v>
      </c>
      <c r="AL49" s="16">
        <v>46</v>
      </c>
      <c r="AM49" s="30">
        <v>44596</v>
      </c>
      <c r="AN49" s="46" t="s">
        <v>53</v>
      </c>
      <c r="AO49" s="57">
        <v>24948</v>
      </c>
      <c r="AP49" s="33" t="s">
        <v>34</v>
      </c>
      <c r="AQ49" s="33" t="s">
        <v>35</v>
      </c>
      <c r="AR49" s="27" t="s">
        <v>114</v>
      </c>
      <c r="AS49" s="35">
        <v>9036</v>
      </c>
      <c r="AT49" s="36">
        <f t="shared" si="6"/>
        <v>16734.672000000002</v>
      </c>
      <c r="AU49" s="35">
        <f>[2]REFERENCE!$E$39</f>
        <v>8.3999999999999995E-3</v>
      </c>
      <c r="AV49" s="37">
        <f t="shared" si="1"/>
        <v>3.5069714152704003</v>
      </c>
      <c r="AX49" s="164" t="s">
        <v>60</v>
      </c>
      <c r="AY49" s="165"/>
      <c r="AZ49" s="165"/>
      <c r="BA49" s="165"/>
      <c r="BB49" s="165"/>
      <c r="BC49" s="165"/>
      <c r="BD49" s="165"/>
      <c r="BE49" s="165"/>
      <c r="BF49" s="66">
        <f>SUM(BF4:BF48)</f>
        <v>0.55422450000000001</v>
      </c>
    </row>
    <row r="50" spans="1:58" ht="16.5" thickBot="1" x14ac:dyDescent="0.4">
      <c r="N50" s="16">
        <v>47</v>
      </c>
      <c r="O50" s="30">
        <v>44590</v>
      </c>
      <c r="P50" s="31" t="s">
        <v>51</v>
      </c>
      <c r="Q50" s="32">
        <v>12500</v>
      </c>
      <c r="R50" s="20" t="s">
        <v>32</v>
      </c>
      <c r="S50" s="33" t="s">
        <v>30</v>
      </c>
      <c r="T50" s="20">
        <v>645</v>
      </c>
      <c r="U50" s="27" t="s">
        <v>113</v>
      </c>
      <c r="V50" s="20"/>
      <c r="W50" s="20" t="s">
        <v>33</v>
      </c>
      <c r="X50" s="20">
        <f>[2]REFERENCE!$E$37</f>
        <v>0.59279999999999999</v>
      </c>
      <c r="Y50" s="21">
        <f t="shared" si="5"/>
        <v>0.38235599999999997</v>
      </c>
      <c r="AA50" s="29">
        <v>47</v>
      </c>
      <c r="AB50" s="30">
        <v>44614</v>
      </c>
      <c r="AC50" s="46" t="s">
        <v>47</v>
      </c>
      <c r="AD50" s="32">
        <v>24946.9</v>
      </c>
      <c r="AE50" s="20" t="s">
        <v>32</v>
      </c>
      <c r="AF50" s="33" t="s">
        <v>34</v>
      </c>
      <c r="AG50" s="20">
        <v>702</v>
      </c>
      <c r="AI50" s="34">
        <f>[2]REFERENCE!$E$38</f>
        <v>9.9600000000000001E-3</v>
      </c>
      <c r="AJ50" s="21">
        <f t="shared" si="0"/>
        <v>0.174426729048</v>
      </c>
      <c r="AL50" s="16">
        <v>47</v>
      </c>
      <c r="AM50" s="30">
        <v>44596</v>
      </c>
      <c r="AN50" s="31" t="s">
        <v>46</v>
      </c>
      <c r="AO50" s="32">
        <v>24948</v>
      </c>
      <c r="AP50" s="33" t="s">
        <v>34</v>
      </c>
      <c r="AQ50" s="33" t="s">
        <v>35</v>
      </c>
      <c r="AR50" s="27" t="s">
        <v>114</v>
      </c>
      <c r="AS50" s="35">
        <v>9036</v>
      </c>
      <c r="AT50" s="36">
        <f t="shared" si="6"/>
        <v>16734.672000000002</v>
      </c>
      <c r="AU50" s="35">
        <f>[2]REFERENCE!$E$39</f>
        <v>8.3999999999999995E-3</v>
      </c>
      <c r="AV50" s="37">
        <f t="shared" si="1"/>
        <v>3.5069714152704003</v>
      </c>
    </row>
    <row r="51" spans="1:58" ht="16.5" thickBot="1" x14ac:dyDescent="0.4">
      <c r="N51" s="16">
        <v>48</v>
      </c>
      <c r="O51" s="30">
        <v>44596</v>
      </c>
      <c r="P51" s="46" t="s">
        <v>53</v>
      </c>
      <c r="Q51" s="57">
        <v>24948</v>
      </c>
      <c r="R51" s="20" t="s">
        <v>32</v>
      </c>
      <c r="S51" s="33" t="s">
        <v>30</v>
      </c>
      <c r="T51" s="20">
        <v>645</v>
      </c>
      <c r="U51" s="27" t="s">
        <v>113</v>
      </c>
      <c r="V51" s="20"/>
      <c r="W51" s="20" t="s">
        <v>33</v>
      </c>
      <c r="X51" s="20">
        <f>[2]REFERENCE!$E$37</f>
        <v>0.59279999999999999</v>
      </c>
      <c r="Y51" s="21">
        <f t="shared" si="5"/>
        <v>0.38235599999999997</v>
      </c>
      <c r="AA51" s="29">
        <v>48</v>
      </c>
      <c r="AB51" s="30">
        <v>44614</v>
      </c>
      <c r="AC51" s="31" t="s">
        <v>47</v>
      </c>
      <c r="AD51" s="32">
        <v>24946.9</v>
      </c>
      <c r="AE51" s="20" t="s">
        <v>32</v>
      </c>
      <c r="AF51" s="33" t="s">
        <v>34</v>
      </c>
      <c r="AG51" s="20">
        <v>702</v>
      </c>
      <c r="AI51" s="34">
        <f>[2]REFERENCE!$E$38</f>
        <v>9.9600000000000001E-3</v>
      </c>
      <c r="AJ51" s="21">
        <f t="shared" si="0"/>
        <v>0.174426729048</v>
      </c>
      <c r="AL51" s="16">
        <v>48</v>
      </c>
      <c r="AM51" s="30">
        <v>44597</v>
      </c>
      <c r="AN51" s="38" t="s">
        <v>51</v>
      </c>
      <c r="AO51" s="32">
        <v>11000</v>
      </c>
      <c r="AP51" s="33" t="s">
        <v>34</v>
      </c>
      <c r="AQ51" s="33" t="s">
        <v>43</v>
      </c>
      <c r="AR51" s="27" t="s">
        <v>115</v>
      </c>
      <c r="AS51" s="35">
        <v>7082</v>
      </c>
      <c r="AT51" s="36">
        <f t="shared" si="6"/>
        <v>13115.864000000001</v>
      </c>
      <c r="AU51" s="35">
        <f>[2]REFERENCE!$E$39</f>
        <v>8.3999999999999995E-3</v>
      </c>
      <c r="AV51" s="37">
        <f t="shared" si="1"/>
        <v>1.2119058336000001</v>
      </c>
    </row>
    <row r="52" spans="1:58" ht="16.5" thickBot="1" x14ac:dyDescent="0.4">
      <c r="N52" s="16">
        <v>49</v>
      </c>
      <c r="O52" s="30">
        <v>44596</v>
      </c>
      <c r="P52" s="31" t="s">
        <v>46</v>
      </c>
      <c r="Q52" s="32">
        <v>24948</v>
      </c>
      <c r="R52" s="20" t="s">
        <v>32</v>
      </c>
      <c r="S52" s="33" t="s">
        <v>30</v>
      </c>
      <c r="T52" s="20">
        <v>645</v>
      </c>
      <c r="U52" s="27" t="s">
        <v>113</v>
      </c>
      <c r="V52" s="20"/>
      <c r="W52" s="20" t="s">
        <v>33</v>
      </c>
      <c r="X52" s="20">
        <f>[2]REFERENCE!$E$37</f>
        <v>0.59279999999999999</v>
      </c>
      <c r="Y52" s="21">
        <f t="shared" si="5"/>
        <v>0.38235599999999997</v>
      </c>
      <c r="AA52" s="29">
        <v>49</v>
      </c>
      <c r="AB52" s="30">
        <v>44616</v>
      </c>
      <c r="AC52" s="31" t="s">
        <v>53</v>
      </c>
      <c r="AD52" s="32">
        <v>24948</v>
      </c>
      <c r="AE52" s="20" t="s">
        <v>32</v>
      </c>
      <c r="AF52" s="33" t="s">
        <v>34</v>
      </c>
      <c r="AG52" s="20">
        <v>702</v>
      </c>
      <c r="AI52" s="34">
        <f>[2]REFERENCE!$E$38</f>
        <v>9.9600000000000001E-3</v>
      </c>
      <c r="AJ52" s="21">
        <f t="shared" si="0"/>
        <v>0.17443442016000002</v>
      </c>
      <c r="AL52" s="16">
        <v>49</v>
      </c>
      <c r="AM52" s="30">
        <v>44607</v>
      </c>
      <c r="AN52" s="38" t="s">
        <v>39</v>
      </c>
      <c r="AO52" s="32">
        <v>25000</v>
      </c>
      <c r="AP52" s="33" t="s">
        <v>34</v>
      </c>
      <c r="AQ52" s="33" t="s">
        <v>40</v>
      </c>
      <c r="AR52" s="27" t="s">
        <v>114</v>
      </c>
      <c r="AS52" s="35">
        <v>3447</v>
      </c>
      <c r="AT52" s="36">
        <f t="shared" si="6"/>
        <v>6383.8440000000001</v>
      </c>
      <c r="AU52" s="35">
        <f>[2]REFERENCE!$E$39</f>
        <v>8.3999999999999995E-3</v>
      </c>
      <c r="AV52" s="37">
        <f t="shared" si="1"/>
        <v>1.34060724</v>
      </c>
    </row>
    <row r="53" spans="1:58" ht="16.5" thickBot="1" x14ac:dyDescent="0.4">
      <c r="B53" s="68" t="s">
        <v>62</v>
      </c>
      <c r="C53" s="69"/>
      <c r="D53" s="70">
        <f>L49+AJ74+AV81+BF49</f>
        <v>218.69324340207132</v>
      </c>
      <c r="N53" s="16">
        <v>50</v>
      </c>
      <c r="O53" s="30">
        <v>44597</v>
      </c>
      <c r="P53" s="38" t="s">
        <v>51</v>
      </c>
      <c r="Q53" s="32">
        <v>11000</v>
      </c>
      <c r="R53" s="20" t="s">
        <v>32</v>
      </c>
      <c r="S53" s="33" t="s">
        <v>30</v>
      </c>
      <c r="T53" s="20">
        <v>645</v>
      </c>
      <c r="U53" s="27" t="s">
        <v>113</v>
      </c>
      <c r="V53" s="20"/>
      <c r="W53" s="20" t="s">
        <v>33</v>
      </c>
      <c r="X53" s="20">
        <f>[2]REFERENCE!$E$37</f>
        <v>0.59279999999999999</v>
      </c>
      <c r="Y53" s="21">
        <f t="shared" si="5"/>
        <v>0.38235599999999997</v>
      </c>
      <c r="AA53" s="29">
        <v>50</v>
      </c>
      <c r="AB53" s="30">
        <v>44616</v>
      </c>
      <c r="AC53" t="s">
        <v>51</v>
      </c>
      <c r="AD53" s="20">
        <v>10625</v>
      </c>
      <c r="AE53" s="20" t="s">
        <v>32</v>
      </c>
      <c r="AF53" s="33" t="s">
        <v>34</v>
      </c>
      <c r="AG53">
        <v>702</v>
      </c>
      <c r="AI53" s="34">
        <f>[2]REFERENCE!$E$38</f>
        <v>9.9600000000000001E-3</v>
      </c>
      <c r="AJ53" s="21">
        <f t="shared" si="0"/>
        <v>7.4289149999999998E-2</v>
      </c>
      <c r="AL53" s="16">
        <v>50</v>
      </c>
      <c r="AM53" s="30">
        <v>44608</v>
      </c>
      <c r="AN53" s="31" t="s">
        <v>49</v>
      </c>
      <c r="AO53" s="32">
        <v>23750</v>
      </c>
      <c r="AP53" s="33" t="s">
        <v>34</v>
      </c>
      <c r="AQ53" s="33" t="s">
        <v>40</v>
      </c>
      <c r="AR53" s="27" t="s">
        <v>114</v>
      </c>
      <c r="AS53" s="35">
        <v>3447</v>
      </c>
      <c r="AT53" s="36">
        <f t="shared" si="6"/>
        <v>6383.8440000000001</v>
      </c>
      <c r="AU53" s="35">
        <f>[2]REFERENCE!$E$39</f>
        <v>8.3999999999999995E-3</v>
      </c>
      <c r="AV53" s="37">
        <f t="shared" si="1"/>
        <v>1.2735768780000001</v>
      </c>
    </row>
    <row r="54" spans="1:58" ht="16.5" thickBot="1" x14ac:dyDescent="0.4">
      <c r="N54" s="16">
        <v>51</v>
      </c>
      <c r="O54" s="30">
        <v>44607</v>
      </c>
      <c r="P54" s="38" t="s">
        <v>39</v>
      </c>
      <c r="Q54" s="32">
        <v>25000</v>
      </c>
      <c r="R54" s="20" t="s">
        <v>32</v>
      </c>
      <c r="S54" s="33" t="s">
        <v>30</v>
      </c>
      <c r="T54" s="20">
        <v>645</v>
      </c>
      <c r="U54" s="27" t="s">
        <v>113</v>
      </c>
      <c r="V54" s="20"/>
      <c r="W54" s="20" t="s">
        <v>33</v>
      </c>
      <c r="X54" s="20">
        <f>[2]REFERENCE!$E$37</f>
        <v>0.59279999999999999</v>
      </c>
      <c r="Y54" s="21">
        <f t="shared" si="5"/>
        <v>0.38235599999999997</v>
      </c>
      <c r="AA54" s="29">
        <v>51</v>
      </c>
      <c r="AB54" s="30">
        <v>44625</v>
      </c>
      <c r="AC54" s="79" t="s">
        <v>48</v>
      </c>
      <c r="AD54" s="20">
        <v>24946.9</v>
      </c>
      <c r="AE54" s="20" t="s">
        <v>32</v>
      </c>
      <c r="AF54" s="33" t="s">
        <v>34</v>
      </c>
      <c r="AG54" s="20">
        <v>702</v>
      </c>
      <c r="AI54" s="34">
        <f>[2]REFERENCE!$E$38</f>
        <v>9.9600000000000001E-3</v>
      </c>
      <c r="AJ54" s="21">
        <f t="shared" si="0"/>
        <v>0.174426729048</v>
      </c>
      <c r="AL54" s="16">
        <v>51</v>
      </c>
      <c r="AM54" s="30">
        <v>44609</v>
      </c>
      <c r="AN54" s="31" t="s">
        <v>46</v>
      </c>
      <c r="AO54" s="32">
        <v>24948</v>
      </c>
      <c r="AP54" s="33" t="s">
        <v>34</v>
      </c>
      <c r="AQ54" s="33" t="s">
        <v>35</v>
      </c>
      <c r="AR54" s="27" t="s">
        <v>114</v>
      </c>
      <c r="AS54" s="35">
        <v>9036</v>
      </c>
      <c r="AT54" s="36">
        <f t="shared" si="6"/>
        <v>16734.672000000002</v>
      </c>
      <c r="AU54" s="35">
        <f>[2]REFERENCE!$E$39</f>
        <v>8.3999999999999995E-3</v>
      </c>
      <c r="AV54" s="37">
        <f t="shared" si="1"/>
        <v>3.5069714152704003</v>
      </c>
    </row>
    <row r="55" spans="1:58" ht="16.5" thickBot="1" x14ac:dyDescent="0.4">
      <c r="N55" s="16">
        <v>52</v>
      </c>
      <c r="O55" s="30">
        <v>44608</v>
      </c>
      <c r="P55" s="31" t="s">
        <v>49</v>
      </c>
      <c r="Q55" s="32">
        <v>23750</v>
      </c>
      <c r="R55" s="20" t="s">
        <v>32</v>
      </c>
      <c r="S55" s="33" t="s">
        <v>30</v>
      </c>
      <c r="T55" s="20">
        <v>645</v>
      </c>
      <c r="U55" s="27" t="s">
        <v>113</v>
      </c>
      <c r="V55" s="20"/>
      <c r="W55" s="20" t="s">
        <v>33</v>
      </c>
      <c r="X55" s="20">
        <f>[2]REFERENCE!$E$37</f>
        <v>0.59279999999999999</v>
      </c>
      <c r="Y55" s="21">
        <f t="shared" si="5"/>
        <v>0.38235599999999997</v>
      </c>
      <c r="AA55" s="29">
        <v>52</v>
      </c>
      <c r="AB55" s="30">
        <v>44631</v>
      </c>
      <c r="AC55" s="79" t="s">
        <v>39</v>
      </c>
      <c r="AD55" s="20">
        <v>25000</v>
      </c>
      <c r="AE55" s="20" t="s">
        <v>32</v>
      </c>
      <c r="AF55" s="33" t="s">
        <v>34</v>
      </c>
      <c r="AG55" s="20">
        <v>702</v>
      </c>
      <c r="AI55" s="34">
        <f>[2]REFERENCE!$E$38</f>
        <v>9.9600000000000001E-3</v>
      </c>
      <c r="AJ55" s="21">
        <f t="shared" si="0"/>
        <v>0.17479800000000001</v>
      </c>
      <c r="AL55" s="16">
        <v>52</v>
      </c>
      <c r="AM55" s="30">
        <v>44610</v>
      </c>
      <c r="AN55" s="46" t="s">
        <v>45</v>
      </c>
      <c r="AO55" s="32">
        <v>24948</v>
      </c>
      <c r="AP55" s="82" t="s">
        <v>34</v>
      </c>
      <c r="AQ55" s="44" t="s">
        <v>35</v>
      </c>
      <c r="AR55" s="27" t="s">
        <v>114</v>
      </c>
      <c r="AS55" s="49">
        <v>9036</v>
      </c>
      <c r="AT55" s="36">
        <f t="shared" si="6"/>
        <v>16734.672000000002</v>
      </c>
      <c r="AU55" s="35">
        <f>[2]REFERENCE!$E$39</f>
        <v>8.3999999999999995E-3</v>
      </c>
      <c r="AV55" s="37">
        <f t="shared" si="1"/>
        <v>3.5069714152704003</v>
      </c>
    </row>
    <row r="56" spans="1:58" ht="16.5" thickBot="1" x14ac:dyDescent="0.4">
      <c r="N56" s="16">
        <v>53</v>
      </c>
      <c r="O56" s="30">
        <v>44609</v>
      </c>
      <c r="P56" s="31" t="s">
        <v>46</v>
      </c>
      <c r="Q56" s="32">
        <v>24948</v>
      </c>
      <c r="R56" s="20" t="s">
        <v>32</v>
      </c>
      <c r="S56" s="33" t="s">
        <v>30</v>
      </c>
      <c r="T56" s="20">
        <v>645</v>
      </c>
      <c r="U56" s="27" t="s">
        <v>113</v>
      </c>
      <c r="V56" s="20"/>
      <c r="W56" s="20" t="s">
        <v>33</v>
      </c>
      <c r="X56" s="20">
        <f>[2]REFERENCE!$E$37</f>
        <v>0.59279999999999999</v>
      </c>
      <c r="Y56" s="21">
        <f t="shared" si="5"/>
        <v>0.38235599999999997</v>
      </c>
      <c r="AA56" s="29">
        <v>53</v>
      </c>
      <c r="AB56" s="30">
        <v>44631</v>
      </c>
      <c r="AC56" s="79" t="s">
        <v>39</v>
      </c>
      <c r="AD56" s="20">
        <v>25000</v>
      </c>
      <c r="AE56" s="20" t="s">
        <v>32</v>
      </c>
      <c r="AF56" s="33" t="s">
        <v>34</v>
      </c>
      <c r="AG56" s="20">
        <v>702</v>
      </c>
      <c r="AI56" s="34">
        <f>[2]REFERENCE!$E$38</f>
        <v>9.9600000000000001E-3</v>
      </c>
      <c r="AJ56" s="21">
        <f t="shared" si="0"/>
        <v>0.17479800000000001</v>
      </c>
      <c r="AL56" s="16">
        <v>53</v>
      </c>
      <c r="AM56" s="30">
        <v>44614</v>
      </c>
      <c r="AN56" s="31" t="s">
        <v>47</v>
      </c>
      <c r="AO56" s="32">
        <v>24946.9</v>
      </c>
      <c r="AP56" s="33" t="s">
        <v>34</v>
      </c>
      <c r="AQ56" s="33" t="s">
        <v>35</v>
      </c>
      <c r="AR56" s="27" t="s">
        <v>114</v>
      </c>
      <c r="AS56" s="35">
        <v>9036</v>
      </c>
      <c r="AT56" s="36">
        <f t="shared" si="6"/>
        <v>16734.672000000002</v>
      </c>
      <c r="AU56" s="35">
        <f>[2]REFERENCE!$E$39</f>
        <v>8.3999999999999995E-3</v>
      </c>
      <c r="AV56" s="37">
        <f t="shared" si="1"/>
        <v>3.5068167869011204</v>
      </c>
    </row>
    <row r="57" spans="1:58" ht="16.5" thickBot="1" x14ac:dyDescent="0.4">
      <c r="A57" t="s">
        <v>107</v>
      </c>
      <c r="B57" s="71"/>
      <c r="N57" s="16">
        <v>54</v>
      </c>
      <c r="O57" s="30">
        <v>44610</v>
      </c>
      <c r="P57" s="46" t="s">
        <v>45</v>
      </c>
      <c r="Q57" s="32">
        <v>24948</v>
      </c>
      <c r="R57" s="20" t="s">
        <v>32</v>
      </c>
      <c r="S57" s="33" t="s">
        <v>30</v>
      </c>
      <c r="T57" s="20">
        <v>645</v>
      </c>
      <c r="U57" s="27" t="s">
        <v>113</v>
      </c>
      <c r="V57" s="20"/>
      <c r="W57" s="20" t="s">
        <v>33</v>
      </c>
      <c r="X57" s="20">
        <f>[2]REFERENCE!$E$37</f>
        <v>0.59279999999999999</v>
      </c>
      <c r="Y57" s="21">
        <f t="shared" si="5"/>
        <v>0.38235599999999997</v>
      </c>
      <c r="AA57" s="29">
        <v>54</v>
      </c>
      <c r="AB57" s="30">
        <v>44634</v>
      </c>
      <c r="AC57" s="79" t="s">
        <v>46</v>
      </c>
      <c r="AD57" s="20">
        <v>24948</v>
      </c>
      <c r="AE57" s="20" t="s">
        <v>32</v>
      </c>
      <c r="AF57" s="33" t="s">
        <v>34</v>
      </c>
      <c r="AG57" s="20">
        <v>702</v>
      </c>
      <c r="AI57" s="34">
        <f>[2]REFERENCE!$E$38</f>
        <v>9.9600000000000001E-3</v>
      </c>
      <c r="AJ57" s="21">
        <f t="shared" si="0"/>
        <v>0.17443442016000002</v>
      </c>
      <c r="AL57" s="16">
        <v>54</v>
      </c>
      <c r="AM57" s="30">
        <v>44614</v>
      </c>
      <c r="AN57" s="38" t="s">
        <v>47</v>
      </c>
      <c r="AO57" s="32">
        <v>24946.9</v>
      </c>
      <c r="AP57" s="33" t="s">
        <v>34</v>
      </c>
      <c r="AQ57" s="33" t="s">
        <v>35</v>
      </c>
      <c r="AR57" s="27" t="s">
        <v>114</v>
      </c>
      <c r="AS57" s="35">
        <v>9036</v>
      </c>
      <c r="AT57" s="36">
        <f t="shared" si="6"/>
        <v>16734.672000000002</v>
      </c>
      <c r="AU57" s="35">
        <f>[2]REFERENCE!$E$39</f>
        <v>8.3999999999999995E-3</v>
      </c>
      <c r="AV57" s="37">
        <f t="shared" si="1"/>
        <v>3.5068167869011204</v>
      </c>
    </row>
    <row r="58" spans="1:58" ht="16.5" thickBot="1" x14ac:dyDescent="0.4">
      <c r="A58" t="s">
        <v>108</v>
      </c>
      <c r="B58" s="43"/>
      <c r="N58" s="16">
        <v>55</v>
      </c>
      <c r="O58" s="30">
        <v>44614</v>
      </c>
      <c r="P58" s="31" t="s">
        <v>47</v>
      </c>
      <c r="Q58" s="32">
        <v>24946.9</v>
      </c>
      <c r="R58" s="20" t="s">
        <v>32</v>
      </c>
      <c r="S58" s="33" t="s">
        <v>30</v>
      </c>
      <c r="T58" s="20">
        <v>645</v>
      </c>
      <c r="U58" s="27" t="s">
        <v>113</v>
      </c>
      <c r="V58" s="20"/>
      <c r="W58" s="20" t="s">
        <v>33</v>
      </c>
      <c r="X58" s="20">
        <f>[2]REFERENCE!$E$37</f>
        <v>0.59279999999999999</v>
      </c>
      <c r="Y58" s="21">
        <f t="shared" si="5"/>
        <v>0.38235599999999997</v>
      </c>
      <c r="AA58" s="29">
        <v>55</v>
      </c>
      <c r="AB58" s="30">
        <v>44638</v>
      </c>
      <c r="AC58" s="79" t="s">
        <v>39</v>
      </c>
      <c r="AD58" s="20">
        <v>25000</v>
      </c>
      <c r="AE58" s="20" t="s">
        <v>32</v>
      </c>
      <c r="AF58" s="33" t="s">
        <v>34</v>
      </c>
      <c r="AG58" s="20">
        <v>702</v>
      </c>
      <c r="AI58" s="34">
        <f>[2]REFERENCE!$E$38</f>
        <v>9.9600000000000001E-3</v>
      </c>
      <c r="AJ58" s="21">
        <f t="shared" si="0"/>
        <v>0.17479800000000001</v>
      </c>
      <c r="AL58" s="16">
        <v>55</v>
      </c>
      <c r="AM58" s="30">
        <v>44614</v>
      </c>
      <c r="AN58" s="38" t="s">
        <v>47</v>
      </c>
      <c r="AO58" s="32">
        <v>24946.9</v>
      </c>
      <c r="AP58" s="33" t="s">
        <v>34</v>
      </c>
      <c r="AQ58" s="33" t="s">
        <v>35</v>
      </c>
      <c r="AR58" s="27" t="s">
        <v>114</v>
      </c>
      <c r="AS58" s="35">
        <v>9036</v>
      </c>
      <c r="AT58" s="36">
        <f t="shared" si="6"/>
        <v>16734.672000000002</v>
      </c>
      <c r="AU58" s="35">
        <f>[2]REFERENCE!$E$39</f>
        <v>8.3999999999999995E-3</v>
      </c>
      <c r="AV58" s="37">
        <f t="shared" si="1"/>
        <v>3.5068167869011204</v>
      </c>
    </row>
    <row r="59" spans="1:58" ht="16.5" thickBot="1" x14ac:dyDescent="0.4">
      <c r="A59" t="s">
        <v>109</v>
      </c>
      <c r="B59" s="43"/>
      <c r="N59" s="16">
        <v>56</v>
      </c>
      <c r="O59" s="30">
        <v>44614</v>
      </c>
      <c r="P59" s="38" t="s">
        <v>47</v>
      </c>
      <c r="Q59" s="32">
        <v>24946.9</v>
      </c>
      <c r="R59" s="20" t="s">
        <v>32</v>
      </c>
      <c r="S59" s="33" t="s">
        <v>30</v>
      </c>
      <c r="T59" s="20">
        <v>645</v>
      </c>
      <c r="U59" s="27" t="s">
        <v>113</v>
      </c>
      <c r="V59" s="20"/>
      <c r="W59" s="20" t="s">
        <v>33</v>
      </c>
      <c r="X59" s="20">
        <f>[2]REFERENCE!$E$37</f>
        <v>0.59279999999999999</v>
      </c>
      <c r="Y59" s="21">
        <f t="shared" si="5"/>
        <v>0.38235599999999997</v>
      </c>
      <c r="AA59" s="29">
        <v>56</v>
      </c>
      <c r="AB59" s="30">
        <v>44638</v>
      </c>
      <c r="AC59" s="79" t="s">
        <v>39</v>
      </c>
      <c r="AD59" s="20">
        <v>25000</v>
      </c>
      <c r="AE59" s="20" t="s">
        <v>32</v>
      </c>
      <c r="AF59" s="33" t="s">
        <v>34</v>
      </c>
      <c r="AG59" s="20">
        <v>702</v>
      </c>
      <c r="AI59" s="34">
        <f>[2]REFERENCE!$E$38</f>
        <v>9.9600000000000001E-3</v>
      </c>
      <c r="AJ59" s="21">
        <f t="shared" si="0"/>
        <v>0.17479800000000001</v>
      </c>
      <c r="AL59" s="16">
        <v>56</v>
      </c>
      <c r="AM59" s="30">
        <v>44616</v>
      </c>
      <c r="AN59" s="38" t="s">
        <v>53</v>
      </c>
      <c r="AO59" s="32">
        <v>24948</v>
      </c>
      <c r="AP59" s="33" t="s">
        <v>34</v>
      </c>
      <c r="AQ59" s="33" t="s">
        <v>35</v>
      </c>
      <c r="AR59" s="27" t="s">
        <v>114</v>
      </c>
      <c r="AS59" s="35">
        <v>9036</v>
      </c>
      <c r="AT59" s="36">
        <f t="shared" si="6"/>
        <v>16734.672000000002</v>
      </c>
      <c r="AU59" s="35">
        <f>[2]REFERENCE!$E$39</f>
        <v>8.3999999999999995E-3</v>
      </c>
      <c r="AV59" s="37">
        <f t="shared" si="1"/>
        <v>3.5069714152704003</v>
      </c>
    </row>
    <row r="60" spans="1:58" ht="16.5" thickBot="1" x14ac:dyDescent="0.4">
      <c r="A60" t="s">
        <v>110</v>
      </c>
      <c r="B60" s="43"/>
      <c r="N60" s="16">
        <v>57</v>
      </c>
      <c r="O60" s="30">
        <v>44614</v>
      </c>
      <c r="P60" s="38" t="s">
        <v>47</v>
      </c>
      <c r="Q60" s="32">
        <v>24946.9</v>
      </c>
      <c r="R60" s="20" t="s">
        <v>32</v>
      </c>
      <c r="S60" s="33" t="s">
        <v>30</v>
      </c>
      <c r="T60" s="20">
        <v>645</v>
      </c>
      <c r="U60" s="27" t="s">
        <v>113</v>
      </c>
      <c r="V60" s="20"/>
      <c r="W60" s="20" t="s">
        <v>33</v>
      </c>
      <c r="X60" s="20">
        <f>[2]REFERENCE!$E$37</f>
        <v>0.59279999999999999</v>
      </c>
      <c r="Y60" s="21">
        <f t="shared" si="5"/>
        <v>0.38235599999999997</v>
      </c>
      <c r="AA60" s="29">
        <v>57</v>
      </c>
      <c r="AB60" s="30">
        <v>44641</v>
      </c>
      <c r="AC60" s="79" t="s">
        <v>44</v>
      </c>
      <c r="AD60" s="20">
        <v>24948</v>
      </c>
      <c r="AE60" s="20" t="s">
        <v>32</v>
      </c>
      <c r="AF60" s="33" t="s">
        <v>34</v>
      </c>
      <c r="AG60" s="20">
        <v>702</v>
      </c>
      <c r="AI60" s="34">
        <f>[2]REFERENCE!$E$38</f>
        <v>9.9600000000000001E-3</v>
      </c>
      <c r="AJ60" s="21">
        <f t="shared" si="0"/>
        <v>0.17443442016000002</v>
      </c>
      <c r="AL60" s="16">
        <v>57</v>
      </c>
      <c r="AM60" s="30">
        <v>44616</v>
      </c>
      <c r="AN60" s="31" t="s">
        <v>51</v>
      </c>
      <c r="AO60" s="32">
        <v>10625</v>
      </c>
      <c r="AP60" s="33" t="s">
        <v>34</v>
      </c>
      <c r="AQ60" s="33" t="s">
        <v>43</v>
      </c>
      <c r="AR60" s="27" t="s">
        <v>114</v>
      </c>
      <c r="AS60" s="35">
        <v>7082</v>
      </c>
      <c r="AT60" s="36">
        <f t="shared" si="6"/>
        <v>13115.864000000001</v>
      </c>
      <c r="AU60" s="35">
        <f>[2]REFERENCE!$E$39</f>
        <v>8.3999999999999995E-3</v>
      </c>
      <c r="AV60" s="37">
        <f t="shared" si="1"/>
        <v>1.1705908620000001</v>
      </c>
    </row>
    <row r="61" spans="1:58" ht="16.5" thickBot="1" x14ac:dyDescent="0.4">
      <c r="A61" t="s">
        <v>111</v>
      </c>
      <c r="B61" s="72"/>
      <c r="N61" s="16">
        <v>58</v>
      </c>
      <c r="O61" s="30">
        <v>44616</v>
      </c>
      <c r="P61" s="38" t="s">
        <v>53</v>
      </c>
      <c r="Q61" s="32">
        <v>24948</v>
      </c>
      <c r="R61" s="20" t="s">
        <v>32</v>
      </c>
      <c r="S61" s="33" t="s">
        <v>30</v>
      </c>
      <c r="T61" s="20">
        <v>645</v>
      </c>
      <c r="U61" s="27" t="s">
        <v>113</v>
      </c>
      <c r="V61" s="20"/>
      <c r="W61" s="20" t="s">
        <v>33</v>
      </c>
      <c r="X61" s="20">
        <f>[2]REFERENCE!$E$37</f>
        <v>0.59279999999999999</v>
      </c>
      <c r="Y61" s="21">
        <f t="shared" si="5"/>
        <v>0.38235599999999997</v>
      </c>
      <c r="AA61" s="29">
        <v>58</v>
      </c>
      <c r="AB61" s="30">
        <v>44644</v>
      </c>
      <c r="AC61" s="79" t="s">
        <v>45</v>
      </c>
      <c r="AD61" s="20">
        <v>24948</v>
      </c>
      <c r="AE61" s="20" t="s">
        <v>32</v>
      </c>
      <c r="AF61" s="33" t="s">
        <v>34</v>
      </c>
      <c r="AG61" s="20">
        <v>702</v>
      </c>
      <c r="AI61" s="34">
        <f>[2]REFERENCE!$E$38</f>
        <v>9.9600000000000001E-3</v>
      </c>
      <c r="AJ61" s="21">
        <f t="shared" si="0"/>
        <v>0.17443442016000002</v>
      </c>
      <c r="AL61" s="16">
        <v>58</v>
      </c>
      <c r="AM61" s="30">
        <v>44625</v>
      </c>
      <c r="AN61" s="31" t="s">
        <v>48</v>
      </c>
      <c r="AO61" s="32">
        <v>24946.9</v>
      </c>
      <c r="AP61" s="33" t="s">
        <v>34</v>
      </c>
      <c r="AQ61" s="33" t="s">
        <v>35</v>
      </c>
      <c r="AR61" s="27" t="s">
        <v>114</v>
      </c>
      <c r="AS61" s="35">
        <v>9036</v>
      </c>
      <c r="AT61" s="36">
        <f t="shared" si="6"/>
        <v>16734.672000000002</v>
      </c>
      <c r="AU61" s="35">
        <f>[2]REFERENCE!$E$39</f>
        <v>8.3999999999999995E-3</v>
      </c>
      <c r="AV61" s="37">
        <f t="shared" si="1"/>
        <v>3.5068167869011204</v>
      </c>
    </row>
    <row r="62" spans="1:58" ht="16.5" thickBot="1" x14ac:dyDescent="0.4">
      <c r="N62" s="16">
        <v>59</v>
      </c>
      <c r="O62" s="30">
        <v>44616</v>
      </c>
      <c r="P62" s="31" t="s">
        <v>51</v>
      </c>
      <c r="Q62" s="32">
        <v>10625</v>
      </c>
      <c r="R62" s="20" t="s">
        <v>32</v>
      </c>
      <c r="S62" s="33" t="s">
        <v>30</v>
      </c>
      <c r="T62" s="20">
        <v>645</v>
      </c>
      <c r="U62" s="27" t="s">
        <v>113</v>
      </c>
      <c r="V62" s="20"/>
      <c r="W62" s="20" t="s">
        <v>33</v>
      </c>
      <c r="X62" s="20">
        <f>[2]REFERENCE!$E$37</f>
        <v>0.59279999999999999</v>
      </c>
      <c r="Y62" s="21">
        <f t="shared" si="5"/>
        <v>0.38235599999999997</v>
      </c>
      <c r="AA62" s="29">
        <v>59</v>
      </c>
      <c r="AB62" s="30">
        <v>44656</v>
      </c>
      <c r="AC62" s="79" t="s">
        <v>47</v>
      </c>
      <c r="AD62" s="20">
        <v>24946.9</v>
      </c>
      <c r="AE62" s="20" t="s">
        <v>32</v>
      </c>
      <c r="AF62" s="33" t="s">
        <v>34</v>
      </c>
      <c r="AG62" s="20">
        <v>702</v>
      </c>
      <c r="AI62" s="34">
        <f>[2]REFERENCE!$E$38</f>
        <v>9.9600000000000001E-3</v>
      </c>
      <c r="AJ62" s="21">
        <f t="shared" si="0"/>
        <v>0.174426729048</v>
      </c>
      <c r="AL62" s="16">
        <v>59</v>
      </c>
      <c r="AM62" s="30">
        <v>44631</v>
      </c>
      <c r="AN62" s="38" t="s">
        <v>39</v>
      </c>
      <c r="AO62" s="32">
        <v>25000</v>
      </c>
      <c r="AP62" s="33" t="s">
        <v>34</v>
      </c>
      <c r="AQ62" s="33" t="s">
        <v>40</v>
      </c>
      <c r="AR62" s="27" t="s">
        <v>114</v>
      </c>
      <c r="AS62" s="35">
        <v>3447</v>
      </c>
      <c r="AT62" s="36">
        <f t="shared" si="6"/>
        <v>6383.8440000000001</v>
      </c>
      <c r="AU62" s="35">
        <f>[2]REFERENCE!$E$39</f>
        <v>8.3999999999999995E-3</v>
      </c>
      <c r="AV62" s="37">
        <f t="shared" si="1"/>
        <v>1.34060724</v>
      </c>
    </row>
    <row r="63" spans="1:58" ht="16.5" thickBot="1" x14ac:dyDescent="0.4">
      <c r="N63" s="16">
        <v>60</v>
      </c>
      <c r="O63" s="30">
        <v>44625</v>
      </c>
      <c r="P63" s="31" t="s">
        <v>48</v>
      </c>
      <c r="Q63" s="32">
        <v>24946.9</v>
      </c>
      <c r="R63" s="20" t="s">
        <v>32</v>
      </c>
      <c r="S63" s="33" t="s">
        <v>30</v>
      </c>
      <c r="T63" s="20">
        <v>645</v>
      </c>
      <c r="U63" s="27" t="s">
        <v>113</v>
      </c>
      <c r="V63" s="20"/>
      <c r="W63" s="20" t="s">
        <v>33</v>
      </c>
      <c r="X63" s="20">
        <f>[2]REFERENCE!$E$37</f>
        <v>0.59279999999999999</v>
      </c>
      <c r="Y63" s="21">
        <f t="shared" si="5"/>
        <v>0.38235599999999997</v>
      </c>
      <c r="AA63" s="29">
        <v>60</v>
      </c>
      <c r="AB63" s="30">
        <v>44657</v>
      </c>
      <c r="AC63" s="79" t="s">
        <v>47</v>
      </c>
      <c r="AD63" s="20">
        <v>24946.9</v>
      </c>
      <c r="AE63" s="20" t="s">
        <v>32</v>
      </c>
      <c r="AF63" s="33" t="s">
        <v>34</v>
      </c>
      <c r="AG63" s="20">
        <v>702</v>
      </c>
      <c r="AI63" s="34">
        <f>[2]REFERENCE!$E$38</f>
        <v>9.9600000000000001E-3</v>
      </c>
      <c r="AJ63" s="21">
        <f t="shared" si="0"/>
        <v>0.174426729048</v>
      </c>
      <c r="AL63" s="16">
        <v>60</v>
      </c>
      <c r="AM63" s="30">
        <v>44631</v>
      </c>
      <c r="AN63" s="38" t="s">
        <v>39</v>
      </c>
      <c r="AO63" s="32">
        <v>25000</v>
      </c>
      <c r="AP63" s="33" t="s">
        <v>34</v>
      </c>
      <c r="AQ63" s="33" t="s">
        <v>40</v>
      </c>
      <c r="AR63" s="27" t="s">
        <v>114</v>
      </c>
      <c r="AS63" s="35">
        <v>3447</v>
      </c>
      <c r="AT63" s="36">
        <f t="shared" si="6"/>
        <v>6383.8440000000001</v>
      </c>
      <c r="AU63" s="35">
        <f>[2]REFERENCE!$E$39</f>
        <v>8.3999999999999995E-3</v>
      </c>
      <c r="AV63" s="37">
        <f t="shared" si="1"/>
        <v>1.34060724</v>
      </c>
    </row>
    <row r="64" spans="1:58" ht="16.5" thickBot="1" x14ac:dyDescent="0.4">
      <c r="N64" s="16">
        <v>61</v>
      </c>
      <c r="O64" s="30">
        <v>44631</v>
      </c>
      <c r="P64" s="38" t="s">
        <v>39</v>
      </c>
      <c r="Q64" s="32">
        <v>25000</v>
      </c>
      <c r="R64" s="20" t="s">
        <v>32</v>
      </c>
      <c r="S64" s="33" t="s">
        <v>30</v>
      </c>
      <c r="T64" s="20">
        <v>645</v>
      </c>
      <c r="U64" s="27" t="s">
        <v>113</v>
      </c>
      <c r="V64" s="20"/>
      <c r="W64" s="20" t="s">
        <v>33</v>
      </c>
      <c r="X64" s="20">
        <f>[2]REFERENCE!$E$37</f>
        <v>0.59279999999999999</v>
      </c>
      <c r="Y64" s="21">
        <f t="shared" si="5"/>
        <v>0.38235599999999997</v>
      </c>
      <c r="AA64" s="29">
        <v>61</v>
      </c>
      <c r="AB64" s="30">
        <v>44658</v>
      </c>
      <c r="AC64" s="79" t="s">
        <v>51</v>
      </c>
      <c r="AD64" s="20">
        <v>24946.9</v>
      </c>
      <c r="AE64" s="20" t="s">
        <v>32</v>
      </c>
      <c r="AF64" s="33" t="s">
        <v>34</v>
      </c>
      <c r="AG64" s="20">
        <v>702</v>
      </c>
      <c r="AI64" s="34">
        <f>[2]REFERENCE!$E$38</f>
        <v>9.9600000000000001E-3</v>
      </c>
      <c r="AJ64" s="21">
        <f t="shared" si="0"/>
        <v>0.174426729048</v>
      </c>
      <c r="AL64" s="16">
        <v>61</v>
      </c>
      <c r="AM64" s="30">
        <v>44634</v>
      </c>
      <c r="AN64" s="38" t="s">
        <v>46</v>
      </c>
      <c r="AO64" s="32">
        <v>24948</v>
      </c>
      <c r="AP64" s="33" t="s">
        <v>34</v>
      </c>
      <c r="AQ64" s="33" t="s">
        <v>35</v>
      </c>
      <c r="AR64" s="27" t="s">
        <v>114</v>
      </c>
      <c r="AS64" s="35">
        <v>9036</v>
      </c>
      <c r="AT64" s="36">
        <f t="shared" si="6"/>
        <v>16734.672000000002</v>
      </c>
      <c r="AU64" s="35">
        <f>[2]REFERENCE!$E$39</f>
        <v>8.3999999999999995E-3</v>
      </c>
      <c r="AV64" s="37">
        <f t="shared" si="1"/>
        <v>3.5069714152704003</v>
      </c>
    </row>
    <row r="65" spans="14:48" ht="16.5" thickBot="1" x14ac:dyDescent="0.4">
      <c r="N65" s="16">
        <v>62</v>
      </c>
      <c r="O65" s="30">
        <v>44631</v>
      </c>
      <c r="P65" s="38" t="s">
        <v>39</v>
      </c>
      <c r="Q65" s="32">
        <v>25000</v>
      </c>
      <c r="R65" s="20" t="s">
        <v>32</v>
      </c>
      <c r="S65" s="33" t="s">
        <v>30</v>
      </c>
      <c r="T65" s="20">
        <v>645</v>
      </c>
      <c r="U65" s="27" t="s">
        <v>113</v>
      </c>
      <c r="V65" s="20"/>
      <c r="W65" s="20" t="s">
        <v>33</v>
      </c>
      <c r="X65" s="20">
        <f>[2]REFERENCE!$E$37</f>
        <v>0.59279999999999999</v>
      </c>
      <c r="Y65" s="21">
        <f t="shared" si="5"/>
        <v>0.38235599999999997</v>
      </c>
      <c r="AA65" s="29">
        <v>62</v>
      </c>
      <c r="AB65" s="30">
        <v>44663</v>
      </c>
      <c r="AC65" s="79" t="s">
        <v>45</v>
      </c>
      <c r="AD65" s="20">
        <v>24946.9</v>
      </c>
      <c r="AE65" s="20" t="s">
        <v>32</v>
      </c>
      <c r="AF65" s="33" t="s">
        <v>34</v>
      </c>
      <c r="AG65" s="20">
        <v>702</v>
      </c>
      <c r="AI65" s="34">
        <f>[2]REFERENCE!$E$38</f>
        <v>9.9600000000000001E-3</v>
      </c>
      <c r="AJ65" s="21">
        <f t="shared" si="0"/>
        <v>0.174426729048</v>
      </c>
      <c r="AL65" s="16">
        <v>62</v>
      </c>
      <c r="AM65" s="30">
        <v>44638</v>
      </c>
      <c r="AN65" s="46" t="s">
        <v>39</v>
      </c>
      <c r="AO65" s="32">
        <v>25000</v>
      </c>
      <c r="AP65" s="33" t="s">
        <v>34</v>
      </c>
      <c r="AQ65" s="33" t="s">
        <v>40</v>
      </c>
      <c r="AR65" s="27" t="s">
        <v>114</v>
      </c>
      <c r="AS65" s="35">
        <v>3447</v>
      </c>
      <c r="AT65" s="36">
        <f t="shared" si="6"/>
        <v>6383.8440000000001</v>
      </c>
      <c r="AU65" s="35">
        <f>[2]REFERENCE!$E$39</f>
        <v>8.3999999999999995E-3</v>
      </c>
      <c r="AV65" s="37">
        <f t="shared" si="1"/>
        <v>1.34060724</v>
      </c>
    </row>
    <row r="66" spans="14:48" ht="16.5" thickBot="1" x14ac:dyDescent="0.4">
      <c r="N66" s="16">
        <v>63</v>
      </c>
      <c r="O66" s="30">
        <v>44634</v>
      </c>
      <c r="P66" s="38" t="s">
        <v>46</v>
      </c>
      <c r="Q66" s="32">
        <v>24948</v>
      </c>
      <c r="R66" s="20" t="s">
        <v>32</v>
      </c>
      <c r="S66" s="33" t="s">
        <v>30</v>
      </c>
      <c r="T66" s="20">
        <v>645</v>
      </c>
      <c r="U66" s="27" t="s">
        <v>113</v>
      </c>
      <c r="V66" s="20"/>
      <c r="W66" s="20" t="s">
        <v>33</v>
      </c>
      <c r="X66" s="20">
        <f>[2]REFERENCE!$E$37</f>
        <v>0.59279999999999999</v>
      </c>
      <c r="Y66" s="21">
        <f t="shared" si="5"/>
        <v>0.38235599999999997</v>
      </c>
      <c r="AA66" s="29">
        <v>63</v>
      </c>
      <c r="AB66" s="30">
        <v>44669</v>
      </c>
      <c r="AC66" s="79" t="s">
        <v>44</v>
      </c>
      <c r="AD66" s="20">
        <v>24948</v>
      </c>
      <c r="AE66" s="20" t="s">
        <v>32</v>
      </c>
      <c r="AF66" s="33" t="s">
        <v>34</v>
      </c>
      <c r="AG66" s="20">
        <v>702</v>
      </c>
      <c r="AI66" s="34">
        <f>[2]REFERENCE!$E$38</f>
        <v>9.9600000000000001E-3</v>
      </c>
      <c r="AJ66" s="21">
        <f t="shared" si="0"/>
        <v>0.17443442016000002</v>
      </c>
      <c r="AL66" s="16">
        <v>63</v>
      </c>
      <c r="AM66" s="30">
        <v>44638</v>
      </c>
      <c r="AN66" s="31" t="s">
        <v>39</v>
      </c>
      <c r="AO66" s="32">
        <v>25000</v>
      </c>
      <c r="AP66" s="33" t="s">
        <v>34</v>
      </c>
      <c r="AQ66" s="33" t="s">
        <v>40</v>
      </c>
      <c r="AR66" s="27" t="s">
        <v>114</v>
      </c>
      <c r="AS66" s="35">
        <v>3447</v>
      </c>
      <c r="AT66" s="36">
        <f t="shared" si="6"/>
        <v>6383.8440000000001</v>
      </c>
      <c r="AU66" s="35">
        <f>[2]REFERENCE!$E$39</f>
        <v>8.3999999999999995E-3</v>
      </c>
      <c r="AV66" s="37">
        <f t="shared" si="1"/>
        <v>1.34060724</v>
      </c>
    </row>
    <row r="67" spans="14:48" ht="16.5" thickBot="1" x14ac:dyDescent="0.4">
      <c r="N67" s="16">
        <v>64</v>
      </c>
      <c r="O67" s="30">
        <v>44638</v>
      </c>
      <c r="P67" s="46" t="s">
        <v>39</v>
      </c>
      <c r="Q67" s="32">
        <v>25000</v>
      </c>
      <c r="R67" s="20" t="s">
        <v>32</v>
      </c>
      <c r="S67" s="33" t="s">
        <v>30</v>
      </c>
      <c r="T67" s="20">
        <v>645</v>
      </c>
      <c r="U67" s="27" t="s">
        <v>113</v>
      </c>
      <c r="V67" s="20"/>
      <c r="W67" s="20" t="s">
        <v>33</v>
      </c>
      <c r="X67" s="20">
        <f>[2]REFERENCE!$E$37</f>
        <v>0.59279999999999999</v>
      </c>
      <c r="Y67" s="21">
        <f t="shared" si="5"/>
        <v>0.38235599999999997</v>
      </c>
      <c r="AA67" s="29">
        <v>64</v>
      </c>
      <c r="AB67" s="30">
        <v>44670</v>
      </c>
      <c r="AC67" s="79" t="s">
        <v>48</v>
      </c>
      <c r="AD67" s="20">
        <v>24946.9</v>
      </c>
      <c r="AE67" s="20" t="s">
        <v>32</v>
      </c>
      <c r="AF67" s="33" t="s">
        <v>34</v>
      </c>
      <c r="AG67" s="20">
        <v>702</v>
      </c>
      <c r="AI67" s="34">
        <f>[2]REFERENCE!$E$38</f>
        <v>9.9600000000000001E-3</v>
      </c>
      <c r="AJ67" s="21">
        <f t="shared" si="0"/>
        <v>0.174426729048</v>
      </c>
      <c r="AL67" s="16">
        <v>64</v>
      </c>
      <c r="AM67" s="30">
        <v>44641</v>
      </c>
      <c r="AN67" s="31" t="s">
        <v>44</v>
      </c>
      <c r="AO67" s="32">
        <v>24948</v>
      </c>
      <c r="AP67" s="33" t="s">
        <v>34</v>
      </c>
      <c r="AQ67" s="33" t="s">
        <v>35</v>
      </c>
      <c r="AR67" s="27" t="s">
        <v>114</v>
      </c>
      <c r="AS67" s="35">
        <v>9036</v>
      </c>
      <c r="AT67" s="36">
        <f t="shared" si="6"/>
        <v>16734.672000000002</v>
      </c>
      <c r="AU67" s="35">
        <f>[2]REFERENCE!$E$39</f>
        <v>8.3999999999999995E-3</v>
      </c>
      <c r="AV67" s="37">
        <f t="shared" si="1"/>
        <v>3.5069714152704003</v>
      </c>
    </row>
    <row r="68" spans="14:48" ht="16.5" thickBot="1" x14ac:dyDescent="0.4">
      <c r="N68" s="16">
        <v>65</v>
      </c>
      <c r="O68" s="30">
        <v>44638</v>
      </c>
      <c r="P68" s="31" t="s">
        <v>39</v>
      </c>
      <c r="Q68" s="32">
        <v>25000</v>
      </c>
      <c r="R68" s="20" t="s">
        <v>32</v>
      </c>
      <c r="S68" s="33" t="s">
        <v>30</v>
      </c>
      <c r="T68" s="20">
        <v>645</v>
      </c>
      <c r="U68" s="27" t="s">
        <v>113</v>
      </c>
      <c r="V68" s="20"/>
      <c r="W68" s="20" t="s">
        <v>33</v>
      </c>
      <c r="X68" s="20">
        <f>[2]REFERENCE!$E$37</f>
        <v>0.59279999999999999</v>
      </c>
      <c r="Y68" s="21">
        <f t="shared" si="5"/>
        <v>0.38235599999999997</v>
      </c>
      <c r="AA68" s="29">
        <v>65</v>
      </c>
      <c r="AB68" s="30">
        <v>44676</v>
      </c>
      <c r="AC68" s="79" t="s">
        <v>42</v>
      </c>
      <c r="AD68" s="20">
        <v>8500</v>
      </c>
      <c r="AE68" s="20" t="s">
        <v>32</v>
      </c>
      <c r="AF68" s="33" t="s">
        <v>34</v>
      </c>
      <c r="AG68" s="20">
        <v>702</v>
      </c>
      <c r="AI68" s="34">
        <f>[2]REFERENCE!$E$38</f>
        <v>9.9600000000000001E-3</v>
      </c>
      <c r="AJ68" s="21">
        <f t="shared" ref="AJ68:AJ105" si="7">AD68*AG68*AI68/10^6</f>
        <v>5.9431320000000003E-2</v>
      </c>
      <c r="AL68" s="16">
        <v>65</v>
      </c>
      <c r="AM68" s="30">
        <v>44644</v>
      </c>
      <c r="AN68" s="46" t="s">
        <v>45</v>
      </c>
      <c r="AO68" s="32">
        <v>24948</v>
      </c>
      <c r="AP68" s="82" t="s">
        <v>34</v>
      </c>
      <c r="AQ68" s="44" t="s">
        <v>35</v>
      </c>
      <c r="AR68" s="27" t="s">
        <v>114</v>
      </c>
      <c r="AS68" s="49">
        <v>9036</v>
      </c>
      <c r="AT68" s="36">
        <f t="shared" si="6"/>
        <v>16734.672000000002</v>
      </c>
      <c r="AU68" s="35">
        <f>[2]REFERENCE!$E$39</f>
        <v>8.3999999999999995E-3</v>
      </c>
      <c r="AV68" s="37">
        <f t="shared" ref="AV68:AV80" si="8">AO68*AT68*AU68/10^6</f>
        <v>3.5069714152704003</v>
      </c>
    </row>
    <row r="69" spans="14:48" ht="16.5" thickBot="1" x14ac:dyDescent="0.4">
      <c r="N69" s="16">
        <v>66</v>
      </c>
      <c r="O69" s="30">
        <v>44641</v>
      </c>
      <c r="P69" s="31" t="s">
        <v>44</v>
      </c>
      <c r="Q69" s="32">
        <v>24948</v>
      </c>
      <c r="R69" s="20" t="s">
        <v>32</v>
      </c>
      <c r="S69" s="33" t="s">
        <v>30</v>
      </c>
      <c r="T69" s="20">
        <v>645</v>
      </c>
      <c r="U69" s="27" t="s">
        <v>113</v>
      </c>
      <c r="V69" s="20"/>
      <c r="W69" s="20" t="s">
        <v>33</v>
      </c>
      <c r="X69" s="20">
        <f>[2]REFERENCE!$E$37</f>
        <v>0.59279999999999999</v>
      </c>
      <c r="Y69" s="21">
        <f t="shared" ref="Y69:Y126" si="9">T69*X69/1000</f>
        <v>0.38235599999999997</v>
      </c>
      <c r="AA69" s="29">
        <v>66</v>
      </c>
      <c r="AB69" s="30">
        <v>44680</v>
      </c>
      <c r="AC69" s="79" t="s">
        <v>47</v>
      </c>
      <c r="AD69" s="20">
        <v>24946.9</v>
      </c>
      <c r="AE69" s="20" t="s">
        <v>32</v>
      </c>
      <c r="AF69" s="33" t="s">
        <v>34</v>
      </c>
      <c r="AG69" s="20">
        <v>702</v>
      </c>
      <c r="AI69" s="34">
        <f>[2]REFERENCE!$E$38</f>
        <v>9.9600000000000001E-3</v>
      </c>
      <c r="AJ69" s="21">
        <f t="shared" si="7"/>
        <v>0.174426729048</v>
      </c>
      <c r="AL69" s="16">
        <v>66</v>
      </c>
      <c r="AM69" s="30">
        <v>44656</v>
      </c>
      <c r="AN69" s="38" t="s">
        <v>47</v>
      </c>
      <c r="AO69" s="32">
        <v>24946.9</v>
      </c>
      <c r="AP69" s="33" t="s">
        <v>34</v>
      </c>
      <c r="AQ69" s="33" t="s">
        <v>35</v>
      </c>
      <c r="AR69" s="27" t="s">
        <v>114</v>
      </c>
      <c r="AS69" s="35">
        <v>9036</v>
      </c>
      <c r="AT69" s="36">
        <f t="shared" ref="AT69:AT80" si="10">AS69*1.852</f>
        <v>16734.672000000002</v>
      </c>
      <c r="AU69" s="35">
        <f>[2]REFERENCE!$E$39</f>
        <v>8.3999999999999995E-3</v>
      </c>
      <c r="AV69" s="37">
        <f t="shared" si="8"/>
        <v>3.5068167869011204</v>
      </c>
    </row>
    <row r="70" spans="14:48" ht="16.5" thickBot="1" x14ac:dyDescent="0.4">
      <c r="N70" s="16">
        <v>67</v>
      </c>
      <c r="O70" s="30">
        <v>44644</v>
      </c>
      <c r="P70" s="46" t="s">
        <v>45</v>
      </c>
      <c r="Q70" s="32">
        <v>24948</v>
      </c>
      <c r="R70" s="20" t="s">
        <v>32</v>
      </c>
      <c r="S70" s="33" t="s">
        <v>30</v>
      </c>
      <c r="T70" s="20">
        <v>645</v>
      </c>
      <c r="U70" s="27" t="s">
        <v>113</v>
      </c>
      <c r="V70" s="20"/>
      <c r="W70" s="20" t="s">
        <v>33</v>
      </c>
      <c r="X70" s="20">
        <f>[2]REFERENCE!$E$37</f>
        <v>0.59279999999999999</v>
      </c>
      <c r="Y70" s="21">
        <f t="shared" si="9"/>
        <v>0.38235599999999997</v>
      </c>
      <c r="AA70" s="29">
        <v>67</v>
      </c>
      <c r="AB70" s="30">
        <v>44682</v>
      </c>
      <c r="AC70" s="79" t="s">
        <v>46</v>
      </c>
      <c r="AD70" s="20">
        <v>24948</v>
      </c>
      <c r="AE70" s="20" t="s">
        <v>32</v>
      </c>
      <c r="AF70" s="33" t="s">
        <v>34</v>
      </c>
      <c r="AG70" s="20">
        <v>702</v>
      </c>
      <c r="AI70" s="34">
        <f>[2]REFERENCE!$E$38</f>
        <v>9.9600000000000001E-3</v>
      </c>
      <c r="AJ70" s="21">
        <f t="shared" si="7"/>
        <v>0.17443442016000002</v>
      </c>
      <c r="AL70" s="16">
        <v>67</v>
      </c>
      <c r="AM70" s="30">
        <v>44657</v>
      </c>
      <c r="AN70" s="38" t="s">
        <v>47</v>
      </c>
      <c r="AO70" s="32">
        <v>24946.9</v>
      </c>
      <c r="AP70" s="33" t="s">
        <v>34</v>
      </c>
      <c r="AQ70" s="33" t="s">
        <v>35</v>
      </c>
      <c r="AR70" s="27" t="s">
        <v>114</v>
      </c>
      <c r="AS70" s="35">
        <v>9036</v>
      </c>
      <c r="AT70" s="36">
        <f t="shared" si="10"/>
        <v>16734.672000000002</v>
      </c>
      <c r="AU70" s="35">
        <f>[2]REFERENCE!$E$39</f>
        <v>8.3999999999999995E-3</v>
      </c>
      <c r="AV70" s="37">
        <f t="shared" si="8"/>
        <v>3.5068167869011204</v>
      </c>
    </row>
    <row r="71" spans="14:48" ht="16.5" thickBot="1" x14ac:dyDescent="0.4">
      <c r="N71" s="16">
        <v>68</v>
      </c>
      <c r="O71" s="30">
        <v>44656</v>
      </c>
      <c r="P71" s="38" t="s">
        <v>47</v>
      </c>
      <c r="Q71" s="32">
        <v>24946.9</v>
      </c>
      <c r="R71" s="20" t="s">
        <v>32</v>
      </c>
      <c r="S71" s="33" t="s">
        <v>30</v>
      </c>
      <c r="T71" s="20">
        <v>645</v>
      </c>
      <c r="U71" s="27" t="s">
        <v>113</v>
      </c>
      <c r="V71" s="20"/>
      <c r="W71" s="20" t="s">
        <v>33</v>
      </c>
      <c r="X71" s="20">
        <f>[2]REFERENCE!$E$37</f>
        <v>0.59279999999999999</v>
      </c>
      <c r="Y71" s="21">
        <f t="shared" si="9"/>
        <v>0.38235599999999997</v>
      </c>
      <c r="AA71" s="29">
        <v>68</v>
      </c>
      <c r="AB71" s="30">
        <v>44685</v>
      </c>
      <c r="AC71" s="79" t="s">
        <v>39</v>
      </c>
      <c r="AD71" s="20">
        <v>25000</v>
      </c>
      <c r="AE71" s="20" t="s">
        <v>32</v>
      </c>
      <c r="AF71" s="33" t="s">
        <v>34</v>
      </c>
      <c r="AG71" s="20">
        <v>702</v>
      </c>
      <c r="AI71" s="34">
        <f>[2]REFERENCE!$E$38</f>
        <v>9.9600000000000001E-3</v>
      </c>
      <c r="AJ71" s="21">
        <f t="shared" si="7"/>
        <v>0.17479800000000001</v>
      </c>
      <c r="AL71" s="16">
        <v>68</v>
      </c>
      <c r="AM71" s="30">
        <v>44658</v>
      </c>
      <c r="AN71" s="38" t="s">
        <v>51</v>
      </c>
      <c r="AO71" s="32">
        <v>24946.9</v>
      </c>
      <c r="AP71" s="33" t="s">
        <v>34</v>
      </c>
      <c r="AQ71" s="33" t="s">
        <v>52</v>
      </c>
      <c r="AR71" s="27" t="s">
        <v>114</v>
      </c>
      <c r="AS71" s="35">
        <v>7082</v>
      </c>
      <c r="AT71" s="36">
        <f t="shared" si="10"/>
        <v>13115.864000000001</v>
      </c>
      <c r="AU71" s="35">
        <f>[2]REFERENCE!$E$39</f>
        <v>8.3999999999999995E-3</v>
      </c>
      <c r="AV71" s="37">
        <f t="shared" si="8"/>
        <v>2.74848124002144</v>
      </c>
    </row>
    <row r="72" spans="14:48" ht="16.5" thickBot="1" x14ac:dyDescent="0.4">
      <c r="N72" s="16">
        <v>69</v>
      </c>
      <c r="O72" s="30">
        <v>44657</v>
      </c>
      <c r="P72" s="38" t="s">
        <v>47</v>
      </c>
      <c r="Q72" s="32">
        <v>24946.9</v>
      </c>
      <c r="R72" s="20" t="s">
        <v>32</v>
      </c>
      <c r="S72" s="33" t="s">
        <v>30</v>
      </c>
      <c r="T72" s="20">
        <v>645</v>
      </c>
      <c r="U72" s="27" t="s">
        <v>113</v>
      </c>
      <c r="V72" s="20"/>
      <c r="W72" s="20" t="s">
        <v>33</v>
      </c>
      <c r="X72" s="20">
        <f>[2]REFERENCE!$E$37</f>
        <v>0.59279999999999999</v>
      </c>
      <c r="Y72" s="21">
        <f t="shared" si="9"/>
        <v>0.38235599999999997</v>
      </c>
      <c r="AA72" s="29">
        <v>69</v>
      </c>
      <c r="AB72" s="30">
        <v>44688</v>
      </c>
      <c r="AC72" s="79" t="s">
        <v>39</v>
      </c>
      <c r="AD72" s="20">
        <v>25000</v>
      </c>
      <c r="AE72" s="20" t="s">
        <v>32</v>
      </c>
      <c r="AF72" s="33" t="s">
        <v>34</v>
      </c>
      <c r="AG72" s="20">
        <v>702</v>
      </c>
      <c r="AI72" s="34">
        <f>[2]REFERENCE!$E$38</f>
        <v>9.9600000000000001E-3</v>
      </c>
      <c r="AJ72" s="21">
        <f t="shared" si="7"/>
        <v>0.17479800000000001</v>
      </c>
      <c r="AL72" s="16">
        <v>69</v>
      </c>
      <c r="AM72" s="30">
        <v>44663</v>
      </c>
      <c r="AN72" s="31" t="s">
        <v>45</v>
      </c>
      <c r="AO72" s="32">
        <v>24946.9</v>
      </c>
      <c r="AP72" s="33" t="s">
        <v>34</v>
      </c>
      <c r="AQ72" s="33" t="s">
        <v>35</v>
      </c>
      <c r="AR72" s="27" t="s">
        <v>114</v>
      </c>
      <c r="AS72" s="35">
        <v>9036</v>
      </c>
      <c r="AT72" s="36">
        <f t="shared" si="10"/>
        <v>16734.672000000002</v>
      </c>
      <c r="AU72" s="35">
        <f>[2]REFERENCE!$E$39</f>
        <v>8.3999999999999995E-3</v>
      </c>
      <c r="AV72" s="37">
        <f t="shared" si="8"/>
        <v>3.5068167869011204</v>
      </c>
    </row>
    <row r="73" spans="14:48" ht="16.5" thickBot="1" x14ac:dyDescent="0.4">
      <c r="N73" s="16">
        <v>70</v>
      </c>
      <c r="O73" s="30">
        <v>44658</v>
      </c>
      <c r="P73" s="38" t="s">
        <v>51</v>
      </c>
      <c r="Q73" s="32">
        <v>24946.9</v>
      </c>
      <c r="R73" s="20" t="s">
        <v>32</v>
      </c>
      <c r="S73" s="33" t="s">
        <v>30</v>
      </c>
      <c r="T73" s="20">
        <v>645</v>
      </c>
      <c r="U73" s="27" t="s">
        <v>113</v>
      </c>
      <c r="V73" s="20"/>
      <c r="W73" s="20" t="s">
        <v>33</v>
      </c>
      <c r="X73" s="20">
        <f>[2]REFERENCE!$E$37</f>
        <v>0.59279999999999999</v>
      </c>
      <c r="Y73" s="21">
        <f t="shared" si="9"/>
        <v>0.38235599999999997</v>
      </c>
      <c r="AA73" s="29">
        <v>70</v>
      </c>
      <c r="AB73" s="30">
        <v>44693</v>
      </c>
      <c r="AC73" s="79" t="s">
        <v>81</v>
      </c>
      <c r="AD73" s="20">
        <v>8750</v>
      </c>
      <c r="AE73" s="20" t="s">
        <v>32</v>
      </c>
      <c r="AF73" s="33" t="s">
        <v>34</v>
      </c>
      <c r="AG73" s="20">
        <v>702</v>
      </c>
      <c r="AI73" s="34">
        <f>[2]REFERENCE!$E$38</f>
        <v>9.9600000000000001E-3</v>
      </c>
      <c r="AJ73" s="21">
        <f t="shared" si="7"/>
        <v>6.1179300000000006E-2</v>
      </c>
      <c r="AL73" s="16">
        <v>70</v>
      </c>
      <c r="AM73" s="30">
        <v>44669</v>
      </c>
      <c r="AN73" s="38" t="s">
        <v>44</v>
      </c>
      <c r="AO73" s="32">
        <v>24948</v>
      </c>
      <c r="AP73" s="33" t="s">
        <v>34</v>
      </c>
      <c r="AQ73" s="33" t="s">
        <v>35</v>
      </c>
      <c r="AR73" s="27" t="s">
        <v>114</v>
      </c>
      <c r="AS73" s="35">
        <v>9036</v>
      </c>
      <c r="AT73" s="36">
        <f t="shared" si="10"/>
        <v>16734.672000000002</v>
      </c>
      <c r="AU73" s="35">
        <f>[2]REFERENCE!$E$39</f>
        <v>8.3999999999999995E-3</v>
      </c>
      <c r="AV73" s="37">
        <f t="shared" si="8"/>
        <v>3.5069714152704003</v>
      </c>
    </row>
    <row r="74" spans="14:48" ht="16.5" thickBot="1" x14ac:dyDescent="0.4">
      <c r="N74" s="16">
        <v>71</v>
      </c>
      <c r="O74" s="30">
        <v>44663</v>
      </c>
      <c r="P74" s="31" t="s">
        <v>45</v>
      </c>
      <c r="Q74" s="32">
        <v>24946.9</v>
      </c>
      <c r="R74" s="20" t="s">
        <v>32</v>
      </c>
      <c r="S74" s="33" t="s">
        <v>30</v>
      </c>
      <c r="T74" s="20">
        <v>645</v>
      </c>
      <c r="U74" s="27" t="s">
        <v>113</v>
      </c>
      <c r="V74" s="20"/>
      <c r="W74" s="20" t="s">
        <v>33</v>
      </c>
      <c r="X74" s="20">
        <f>[2]REFERENCE!$E$37</f>
        <v>0.59279999999999999</v>
      </c>
      <c r="Y74" s="21">
        <f t="shared" si="9"/>
        <v>0.38235599999999997</v>
      </c>
      <c r="AB74" s="168" t="s">
        <v>65</v>
      </c>
      <c r="AC74" s="168"/>
      <c r="AD74" s="168"/>
      <c r="AE74" s="168"/>
      <c r="AF74" s="168"/>
      <c r="AG74" s="168"/>
      <c r="AH74" s="168"/>
      <c r="AI74" s="168"/>
      <c r="AJ74" s="81">
        <f>SUM(AJ4:AJ73)</f>
        <v>10.710553214462394</v>
      </c>
      <c r="AL74" s="16">
        <v>71</v>
      </c>
      <c r="AM74" s="30">
        <v>44670</v>
      </c>
      <c r="AN74" s="31" t="s">
        <v>48</v>
      </c>
      <c r="AO74" s="32">
        <v>24946.9</v>
      </c>
      <c r="AP74" s="33" t="s">
        <v>34</v>
      </c>
      <c r="AQ74" s="33" t="s">
        <v>35</v>
      </c>
      <c r="AR74" s="27" t="s">
        <v>114</v>
      </c>
      <c r="AS74" s="35">
        <v>9036</v>
      </c>
      <c r="AT74" s="36">
        <f t="shared" si="10"/>
        <v>16734.672000000002</v>
      </c>
      <c r="AU74" s="35">
        <f>[2]REFERENCE!$E$39</f>
        <v>8.3999999999999995E-3</v>
      </c>
      <c r="AV74" s="37">
        <f t="shared" si="8"/>
        <v>3.5068167869011204</v>
      </c>
    </row>
    <row r="75" spans="14:48" ht="16.5" thickBot="1" x14ac:dyDescent="0.4">
      <c r="N75" s="16">
        <v>72</v>
      </c>
      <c r="O75" s="30">
        <v>44669</v>
      </c>
      <c r="P75" s="38" t="s">
        <v>44</v>
      </c>
      <c r="Q75" s="32">
        <v>24948</v>
      </c>
      <c r="R75" s="20" t="s">
        <v>32</v>
      </c>
      <c r="S75" s="33" t="s">
        <v>30</v>
      </c>
      <c r="T75" s="20">
        <v>645</v>
      </c>
      <c r="U75" s="27" t="s">
        <v>113</v>
      </c>
      <c r="V75" s="20"/>
      <c r="W75" s="20" t="s">
        <v>33</v>
      </c>
      <c r="X75" s="20">
        <f>[2]REFERENCE!$E$37</f>
        <v>0.59279999999999999</v>
      </c>
      <c r="Y75" s="21">
        <f t="shared" si="9"/>
        <v>0.38235599999999997</v>
      </c>
      <c r="AF75" s="20" t="s">
        <v>33</v>
      </c>
      <c r="AL75" s="16">
        <v>72</v>
      </c>
      <c r="AM75" s="30">
        <v>44676</v>
      </c>
      <c r="AN75" s="46" t="s">
        <v>42</v>
      </c>
      <c r="AO75" s="32">
        <v>8500</v>
      </c>
      <c r="AP75" s="82" t="s">
        <v>34</v>
      </c>
      <c r="AQ75" s="44" t="s">
        <v>43</v>
      </c>
      <c r="AR75" s="27" t="s">
        <v>115</v>
      </c>
      <c r="AS75" s="49">
        <v>7082</v>
      </c>
      <c r="AT75" s="36">
        <f t="shared" si="10"/>
        <v>13115.864000000001</v>
      </c>
      <c r="AU75" s="35">
        <f>[2]REFERENCE!$E$39</f>
        <v>8.3999999999999995E-3</v>
      </c>
      <c r="AV75" s="37">
        <f t="shared" si="8"/>
        <v>0.93647268960000007</v>
      </c>
    </row>
    <row r="76" spans="14:48" ht="16.5" thickBot="1" x14ac:dyDescent="0.4">
      <c r="N76" s="16">
        <v>73</v>
      </c>
      <c r="O76" s="30">
        <v>44670</v>
      </c>
      <c r="P76" s="31" t="s">
        <v>48</v>
      </c>
      <c r="Q76" s="32">
        <v>24946.9</v>
      </c>
      <c r="R76" s="20" t="s">
        <v>32</v>
      </c>
      <c r="S76" s="33" t="s">
        <v>30</v>
      </c>
      <c r="T76" s="20">
        <v>645</v>
      </c>
      <c r="U76" s="27" t="s">
        <v>113</v>
      </c>
      <c r="V76" s="20"/>
      <c r="W76" s="20" t="s">
        <v>33</v>
      </c>
      <c r="X76" s="20">
        <f>[2]REFERENCE!$E$37</f>
        <v>0.59279999999999999</v>
      </c>
      <c r="Y76" s="21">
        <f t="shared" si="9"/>
        <v>0.38235599999999997</v>
      </c>
      <c r="AL76" s="16">
        <v>73</v>
      </c>
      <c r="AM76" s="30">
        <v>44680</v>
      </c>
      <c r="AN76" s="46" t="s">
        <v>47</v>
      </c>
      <c r="AO76" s="32">
        <v>24946.9</v>
      </c>
      <c r="AP76" s="33" t="s">
        <v>34</v>
      </c>
      <c r="AQ76" s="33" t="s">
        <v>35</v>
      </c>
      <c r="AR76" s="27" t="s">
        <v>114</v>
      </c>
      <c r="AS76" s="35">
        <v>9036</v>
      </c>
      <c r="AT76" s="36">
        <f t="shared" si="10"/>
        <v>16734.672000000002</v>
      </c>
      <c r="AU76" s="35">
        <f>[2]REFERENCE!$E$39</f>
        <v>8.3999999999999995E-3</v>
      </c>
      <c r="AV76" s="37">
        <f t="shared" si="8"/>
        <v>3.5068167869011204</v>
      </c>
    </row>
    <row r="77" spans="14:48" ht="16.5" thickBot="1" x14ac:dyDescent="0.4">
      <c r="N77" s="16">
        <v>74</v>
      </c>
      <c r="O77" s="30">
        <v>44676</v>
      </c>
      <c r="P77" s="46" t="s">
        <v>42</v>
      </c>
      <c r="Q77" s="32">
        <v>8500</v>
      </c>
      <c r="R77" s="20" t="s">
        <v>32</v>
      </c>
      <c r="S77" s="33" t="s">
        <v>30</v>
      </c>
      <c r="T77" s="20">
        <v>645</v>
      </c>
      <c r="U77" s="27" t="s">
        <v>113</v>
      </c>
      <c r="V77" s="20"/>
      <c r="W77" s="20" t="s">
        <v>33</v>
      </c>
      <c r="X77" s="20">
        <f>[2]REFERENCE!$E$37</f>
        <v>0.59279999999999999</v>
      </c>
      <c r="Y77" s="21">
        <f t="shared" si="9"/>
        <v>0.38235599999999997</v>
      </c>
      <c r="AL77" s="16">
        <v>74</v>
      </c>
      <c r="AM77" s="30">
        <v>44682</v>
      </c>
      <c r="AN77" s="31" t="s">
        <v>46</v>
      </c>
      <c r="AO77" s="32">
        <v>24948</v>
      </c>
      <c r="AP77" s="33" t="s">
        <v>34</v>
      </c>
      <c r="AQ77" s="33" t="s">
        <v>35</v>
      </c>
      <c r="AR77" s="27" t="s">
        <v>114</v>
      </c>
      <c r="AS77" s="35">
        <v>9036</v>
      </c>
      <c r="AT77" s="36">
        <f t="shared" si="10"/>
        <v>16734.672000000002</v>
      </c>
      <c r="AU77" s="35">
        <f>[2]REFERENCE!$E$39</f>
        <v>8.3999999999999995E-3</v>
      </c>
      <c r="AV77" s="37">
        <f t="shared" si="8"/>
        <v>3.5069714152704003</v>
      </c>
    </row>
    <row r="78" spans="14:48" ht="16.5" thickBot="1" x14ac:dyDescent="0.4">
      <c r="N78" s="16">
        <v>75</v>
      </c>
      <c r="O78" s="30">
        <v>44680</v>
      </c>
      <c r="P78" s="46" t="s">
        <v>47</v>
      </c>
      <c r="Q78" s="32">
        <v>24946.9</v>
      </c>
      <c r="R78" s="20" t="s">
        <v>32</v>
      </c>
      <c r="S78" s="33" t="s">
        <v>30</v>
      </c>
      <c r="T78" s="20">
        <v>645</v>
      </c>
      <c r="U78" s="27" t="s">
        <v>113</v>
      </c>
      <c r="V78" s="20"/>
      <c r="W78" s="20" t="s">
        <v>33</v>
      </c>
      <c r="X78" s="20">
        <f>[2]REFERENCE!$E$37</f>
        <v>0.59279999999999999</v>
      </c>
      <c r="Y78" s="21">
        <f t="shared" si="9"/>
        <v>0.38235599999999997</v>
      </c>
      <c r="AL78" s="16">
        <v>75</v>
      </c>
      <c r="AM78" s="30">
        <v>44685</v>
      </c>
      <c r="AN78" s="38" t="s">
        <v>39</v>
      </c>
      <c r="AO78" s="32">
        <v>25000</v>
      </c>
      <c r="AP78" s="33" t="s">
        <v>34</v>
      </c>
      <c r="AQ78" s="33" t="s">
        <v>40</v>
      </c>
      <c r="AR78" s="27" t="s">
        <v>114</v>
      </c>
      <c r="AS78" s="35">
        <v>3447</v>
      </c>
      <c r="AT78" s="36">
        <f t="shared" si="10"/>
        <v>6383.8440000000001</v>
      </c>
      <c r="AU78" s="35">
        <f>[2]REFERENCE!$E$39</f>
        <v>8.3999999999999995E-3</v>
      </c>
      <c r="AV78" s="37">
        <f t="shared" si="8"/>
        <v>1.34060724</v>
      </c>
    </row>
    <row r="79" spans="14:48" ht="16.5" thickBot="1" x14ac:dyDescent="0.4">
      <c r="N79" s="16">
        <v>76</v>
      </c>
      <c r="O79" s="30">
        <v>44682</v>
      </c>
      <c r="P79" s="31" t="s">
        <v>46</v>
      </c>
      <c r="Q79" s="32">
        <v>24948</v>
      </c>
      <c r="R79" s="20" t="s">
        <v>32</v>
      </c>
      <c r="S79" s="33" t="s">
        <v>30</v>
      </c>
      <c r="T79" s="20">
        <v>645</v>
      </c>
      <c r="U79" s="27" t="s">
        <v>113</v>
      </c>
      <c r="V79" s="20"/>
      <c r="W79" s="20" t="s">
        <v>33</v>
      </c>
      <c r="X79" s="20">
        <f>[2]REFERENCE!$E$37</f>
        <v>0.59279999999999999</v>
      </c>
      <c r="Y79" s="21">
        <f t="shared" si="9"/>
        <v>0.38235599999999997</v>
      </c>
      <c r="AL79" s="16">
        <v>76</v>
      </c>
      <c r="AM79" s="30">
        <v>44688</v>
      </c>
      <c r="AN79" s="38" t="s">
        <v>39</v>
      </c>
      <c r="AO79" s="32">
        <v>25000</v>
      </c>
      <c r="AP79" s="33" t="s">
        <v>34</v>
      </c>
      <c r="AQ79" s="33" t="s">
        <v>40</v>
      </c>
      <c r="AR79" s="27" t="s">
        <v>114</v>
      </c>
      <c r="AS79" s="35">
        <v>3447</v>
      </c>
      <c r="AT79" s="36">
        <f t="shared" si="10"/>
        <v>6383.8440000000001</v>
      </c>
      <c r="AU79" s="35">
        <f>[2]REFERENCE!$E$39</f>
        <v>8.3999999999999995E-3</v>
      </c>
      <c r="AV79" s="37">
        <f>AO79*AT79*AU79/10^6</f>
        <v>1.34060724</v>
      </c>
    </row>
    <row r="80" spans="14:48" ht="16.5" thickBot="1" x14ac:dyDescent="0.4">
      <c r="N80" s="16">
        <v>77</v>
      </c>
      <c r="O80" s="30">
        <v>44685</v>
      </c>
      <c r="P80" s="38" t="s">
        <v>39</v>
      </c>
      <c r="Q80" s="32">
        <v>25000</v>
      </c>
      <c r="R80" s="20" t="s">
        <v>32</v>
      </c>
      <c r="S80" s="33" t="s">
        <v>30</v>
      </c>
      <c r="T80" s="20">
        <v>645</v>
      </c>
      <c r="U80" s="27" t="s">
        <v>113</v>
      </c>
      <c r="V80" s="20"/>
      <c r="W80" s="20" t="s">
        <v>33</v>
      </c>
      <c r="X80" s="20">
        <f>[2]REFERENCE!$E$37</f>
        <v>0.59279999999999999</v>
      </c>
      <c r="Y80" s="21">
        <f t="shared" si="9"/>
        <v>0.38235599999999997</v>
      </c>
      <c r="AL80" s="101">
        <v>77</v>
      </c>
      <c r="AM80" s="102">
        <v>44693</v>
      </c>
      <c r="AN80" s="103" t="s">
        <v>81</v>
      </c>
      <c r="AO80" s="104">
        <v>8750</v>
      </c>
      <c r="AP80" s="105" t="s">
        <v>34</v>
      </c>
      <c r="AQ80" s="105" t="s">
        <v>52</v>
      </c>
      <c r="AR80" s="27" t="s">
        <v>115</v>
      </c>
      <c r="AS80" s="107">
        <v>7082</v>
      </c>
      <c r="AT80" s="108">
        <f t="shared" si="10"/>
        <v>13115.864000000001</v>
      </c>
      <c r="AU80" s="107">
        <f>[2]REFERENCE!$E$39</f>
        <v>8.3999999999999995E-3</v>
      </c>
      <c r="AV80" s="109">
        <f t="shared" si="8"/>
        <v>0.96401600400000009</v>
      </c>
    </row>
    <row r="81" spans="14:48" ht="16.5" thickBot="1" x14ac:dyDescent="0.4">
      <c r="N81" s="16">
        <v>76</v>
      </c>
      <c r="O81" s="30">
        <v>44688</v>
      </c>
      <c r="P81" s="38" t="s">
        <v>39</v>
      </c>
      <c r="Q81" s="32">
        <v>25000</v>
      </c>
      <c r="R81" s="20" t="s">
        <v>32</v>
      </c>
      <c r="S81" s="33" t="s">
        <v>30</v>
      </c>
      <c r="T81" s="20">
        <v>645</v>
      </c>
      <c r="U81" s="27" t="s">
        <v>113</v>
      </c>
      <c r="V81" s="20"/>
      <c r="W81" s="20" t="s">
        <v>33</v>
      </c>
      <c r="X81" s="20">
        <f>[2]REFERENCE!$E$37</f>
        <v>0.59279999999999999</v>
      </c>
      <c r="Y81" s="21">
        <f t="shared" si="9"/>
        <v>0.38235599999999997</v>
      </c>
      <c r="AL81" s="175" t="s">
        <v>60</v>
      </c>
      <c r="AM81" s="176"/>
      <c r="AN81" s="176"/>
      <c r="AO81" s="176"/>
      <c r="AP81" s="176"/>
      <c r="AQ81" s="176"/>
      <c r="AR81" s="176"/>
      <c r="AS81" s="177"/>
      <c r="AT81" s="140">
        <f>SUM(AT4:AT76)</f>
        <v>957898.84800000093</v>
      </c>
      <c r="AU81" s="141"/>
      <c r="AV81" s="141">
        <f>SUM(AV4:AV80)</f>
        <v>187.38886168760891</v>
      </c>
    </row>
    <row r="82" spans="14:48" ht="16.5" thickBot="1" x14ac:dyDescent="0.4">
      <c r="N82" s="16">
        <v>78</v>
      </c>
      <c r="O82" s="30">
        <v>44693</v>
      </c>
      <c r="P82" s="31" t="s">
        <v>81</v>
      </c>
      <c r="Q82" s="32">
        <v>8750</v>
      </c>
      <c r="R82" s="20" t="s">
        <v>32</v>
      </c>
      <c r="S82" s="33" t="s">
        <v>30</v>
      </c>
      <c r="T82" s="20">
        <v>645</v>
      </c>
      <c r="U82" s="27" t="s">
        <v>113</v>
      </c>
      <c r="V82" s="20"/>
      <c r="W82" s="20" t="s">
        <v>33</v>
      </c>
      <c r="X82" s="20">
        <f>[2]REFERENCE!$E$37</f>
        <v>0.59279999999999999</v>
      </c>
      <c r="Y82" s="21">
        <f t="shared" si="9"/>
        <v>0.38235599999999997</v>
      </c>
    </row>
    <row r="83" spans="14:48" ht="16.5" thickBot="1" x14ac:dyDescent="0.4">
      <c r="N83" s="101">
        <v>79</v>
      </c>
      <c r="O83" s="102">
        <v>44688</v>
      </c>
      <c r="P83" s="142" t="s">
        <v>39</v>
      </c>
      <c r="Q83" s="104">
        <v>25000</v>
      </c>
      <c r="R83" s="106" t="s">
        <v>32</v>
      </c>
      <c r="S83" s="105" t="s">
        <v>30</v>
      </c>
      <c r="T83" s="106">
        <v>645</v>
      </c>
      <c r="U83" s="27" t="s">
        <v>113</v>
      </c>
      <c r="V83" s="106"/>
      <c r="W83" s="106" t="s">
        <v>33</v>
      </c>
      <c r="X83" s="106">
        <f>[2]REFERENCE!$E$37</f>
        <v>0.59279999999999999</v>
      </c>
      <c r="Y83" s="143">
        <f t="shared" si="9"/>
        <v>0.38235599999999997</v>
      </c>
    </row>
    <row r="84" spans="14:48" ht="16.5" thickBot="1" x14ac:dyDescent="0.45">
      <c r="N84" s="166" t="s">
        <v>65</v>
      </c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44">
        <f>SUBTOTAL(9,Y4:Y83)</f>
        <v>30.218572800000047</v>
      </c>
    </row>
  </sheetData>
  <mergeCells count="10">
    <mergeCell ref="AX49:BE49"/>
    <mergeCell ref="AB74:AI74"/>
    <mergeCell ref="AL81:AS81"/>
    <mergeCell ref="N84:X84"/>
    <mergeCell ref="A1:BF1"/>
    <mergeCell ref="A2:L2"/>
    <mergeCell ref="N2:Y2"/>
    <mergeCell ref="AA2:AJ2"/>
    <mergeCell ref="AL2:AV2"/>
    <mergeCell ref="AX2:B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7F40-5B3E-4D5E-A578-A686978F6C24}">
  <dimension ref="A1:DI126"/>
  <sheetViews>
    <sheetView tabSelected="1" topLeftCell="AH1" zoomScaleNormal="100" workbookViewId="0">
      <selection activeCell="AT7" sqref="AT7"/>
    </sheetView>
  </sheetViews>
  <sheetFormatPr defaultRowHeight="14.5" x14ac:dyDescent="0.35"/>
  <cols>
    <col min="1" max="1" width="4" style="67" customWidth="1"/>
    <col min="2" max="2" width="8.1796875" customWidth="1"/>
    <col min="3" max="3" width="17.81640625" customWidth="1"/>
    <col min="4" max="4" width="12.81640625" customWidth="1"/>
    <col min="5" max="5" width="15.7265625" bestFit="1" customWidth="1"/>
    <col min="6" max="6" width="13.1796875" bestFit="1" customWidth="1"/>
    <col min="7" max="7" width="10.453125" customWidth="1"/>
    <col min="8" max="8" width="11.54296875" customWidth="1"/>
    <col min="9" max="9" width="9.26953125" customWidth="1"/>
    <col min="10" max="10" width="10.453125" customWidth="1"/>
    <col min="11" max="11" width="10" customWidth="1"/>
    <col min="12" max="12" width="10.54296875" bestFit="1" customWidth="1"/>
    <col min="13" max="18" width="10.54296875" customWidth="1"/>
    <col min="19" max="19" width="14.08984375" bestFit="1" customWidth="1"/>
    <col min="20" max="26" width="10.54296875" customWidth="1"/>
    <col min="27" max="27" width="3.81640625" customWidth="1"/>
    <col min="28" max="28" width="5.54296875" customWidth="1"/>
    <col min="29" max="29" width="8.26953125" customWidth="1"/>
    <col min="30" max="30" width="12.7265625" bestFit="1" customWidth="1"/>
    <col min="31" max="31" width="14.81640625" customWidth="1"/>
    <col min="32" max="32" width="8.1796875" bestFit="1" customWidth="1"/>
    <col min="33" max="33" width="13.1796875" bestFit="1" customWidth="1"/>
    <col min="34" max="34" width="10.54296875" customWidth="1"/>
    <col min="35" max="35" width="11.7265625" customWidth="1"/>
    <col min="36" max="37" width="9.7265625" customWidth="1"/>
    <col min="38" max="38" width="4.54296875" customWidth="1"/>
    <col min="39" max="39" width="5.54296875" customWidth="1"/>
    <col min="40" max="40" width="19.1796875" bestFit="1" customWidth="1"/>
    <col min="41" max="41" width="27.7265625" customWidth="1"/>
    <col min="42" max="42" width="10" bestFit="1" customWidth="1"/>
    <col min="43" max="43" width="12.81640625" bestFit="1" customWidth="1"/>
    <col min="44" max="44" width="23.7265625" bestFit="1" customWidth="1"/>
    <col min="45" max="45" width="10.7265625" customWidth="1"/>
    <col min="46" max="46" width="9.7265625" bestFit="1" customWidth="1"/>
    <col min="47" max="48" width="10" customWidth="1"/>
    <col min="49" max="49" width="11.54296875" customWidth="1"/>
    <col min="50" max="50" width="4.453125" customWidth="1"/>
    <col min="52" max="52" width="13.1796875" customWidth="1"/>
    <col min="53" max="53" width="31.81640625" bestFit="1" customWidth="1"/>
    <col min="54" max="54" width="14.453125" customWidth="1"/>
    <col min="55" max="55" width="11" bestFit="1" customWidth="1"/>
    <col min="56" max="56" width="13.81640625" bestFit="1" customWidth="1"/>
    <col min="57" max="57" width="10.26953125" customWidth="1"/>
    <col min="58" max="58" width="11.54296875" customWidth="1"/>
    <col min="59" max="59" width="10.1796875" customWidth="1"/>
  </cols>
  <sheetData>
    <row r="1" spans="1:113" s="1" customFormat="1" ht="27.75" customHeight="1" x14ac:dyDescent="0.35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</row>
    <row r="2" spans="1:113" ht="15" thickBot="1" x14ac:dyDescent="0.4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2"/>
      <c r="N2" s="181" t="s">
        <v>1</v>
      </c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2"/>
      <c r="AB2" s="173" t="s">
        <v>2</v>
      </c>
      <c r="AC2" s="173"/>
      <c r="AD2" s="173"/>
      <c r="AE2" s="173"/>
      <c r="AF2" s="173"/>
      <c r="AG2" s="173"/>
      <c r="AH2" s="173"/>
      <c r="AI2" s="173"/>
      <c r="AJ2" s="173"/>
      <c r="AK2" s="173"/>
      <c r="AM2" s="173" t="s">
        <v>3</v>
      </c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Y2" s="174" t="s">
        <v>4</v>
      </c>
      <c r="AZ2" s="174"/>
      <c r="BA2" s="174"/>
      <c r="BB2" s="174"/>
      <c r="BC2" s="174"/>
      <c r="BD2" s="174"/>
      <c r="BE2" s="174"/>
      <c r="BF2" s="174"/>
      <c r="BG2" s="174"/>
    </row>
    <row r="3" spans="1:113" ht="73" thickBot="1" x14ac:dyDescent="0.4">
      <c r="A3" s="3"/>
      <c r="B3" s="4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6" t="s">
        <v>15</v>
      </c>
      <c r="M3" s="87"/>
      <c r="N3" s="145" t="s">
        <v>16</v>
      </c>
      <c r="O3" s="145" t="s">
        <v>5</v>
      </c>
      <c r="P3" s="146" t="s">
        <v>6</v>
      </c>
      <c r="Q3" s="146" t="s">
        <v>7</v>
      </c>
      <c r="R3" s="145" t="s">
        <v>8</v>
      </c>
      <c r="S3" s="145" t="s">
        <v>9</v>
      </c>
      <c r="T3" s="146" t="s">
        <v>11</v>
      </c>
      <c r="U3" s="146" t="s">
        <v>17</v>
      </c>
      <c r="V3" s="146" t="s">
        <v>12</v>
      </c>
      <c r="W3" s="146" t="s">
        <v>13</v>
      </c>
      <c r="X3" s="146" t="s">
        <v>14</v>
      </c>
      <c r="Y3" s="146" t="s">
        <v>15</v>
      </c>
      <c r="Z3" s="87"/>
      <c r="AB3" s="11" t="s">
        <v>16</v>
      </c>
      <c r="AC3" s="12" t="s">
        <v>5</v>
      </c>
      <c r="AD3" s="13" t="s">
        <v>6</v>
      </c>
      <c r="AE3" s="13" t="s">
        <v>18</v>
      </c>
      <c r="AF3" s="12" t="s">
        <v>8</v>
      </c>
      <c r="AG3" s="12" t="s">
        <v>9</v>
      </c>
      <c r="AH3" s="13" t="s">
        <v>11</v>
      </c>
      <c r="AI3" s="13" t="s">
        <v>13</v>
      </c>
      <c r="AJ3" s="13" t="s">
        <v>19</v>
      </c>
      <c r="AK3" s="14" t="s">
        <v>15</v>
      </c>
      <c r="AM3" s="15" t="s">
        <v>16</v>
      </c>
      <c r="AN3" s="5" t="s">
        <v>20</v>
      </c>
      <c r="AO3" s="5" t="s">
        <v>6</v>
      </c>
      <c r="AP3" s="5" t="s">
        <v>21</v>
      </c>
      <c r="AQ3" s="4" t="s">
        <v>8</v>
      </c>
      <c r="AR3" s="4" t="s">
        <v>9</v>
      </c>
      <c r="AS3" s="5" t="s">
        <v>22</v>
      </c>
      <c r="AT3" s="5" t="s">
        <v>23</v>
      </c>
      <c r="AU3" s="5" t="s">
        <v>24</v>
      </c>
      <c r="AV3" s="5" t="s">
        <v>19</v>
      </c>
      <c r="AW3" s="6" t="s">
        <v>15</v>
      </c>
      <c r="AY3" s="15" t="s">
        <v>16</v>
      </c>
      <c r="AZ3" s="5" t="s">
        <v>25</v>
      </c>
      <c r="BA3" s="5" t="s">
        <v>6</v>
      </c>
      <c r="BB3" s="5" t="s">
        <v>26</v>
      </c>
      <c r="BC3" s="4" t="s">
        <v>8</v>
      </c>
      <c r="BD3" s="4" t="s">
        <v>9</v>
      </c>
      <c r="BE3" s="5" t="s">
        <v>27</v>
      </c>
      <c r="BF3" s="5" t="s">
        <v>19</v>
      </c>
      <c r="BG3" s="6" t="s">
        <v>15</v>
      </c>
    </row>
    <row r="4" spans="1:113" s="20" customFormat="1" ht="16" x14ac:dyDescent="0.4">
      <c r="A4" s="16">
        <v>1</v>
      </c>
      <c r="B4" s="147">
        <v>45108</v>
      </c>
      <c r="C4" s="20" t="s">
        <v>28</v>
      </c>
      <c r="D4" s="20">
        <v>17979</v>
      </c>
      <c r="E4" s="20" t="s">
        <v>38</v>
      </c>
      <c r="F4" s="147" t="s">
        <v>82</v>
      </c>
      <c r="G4" s="20">
        <v>318</v>
      </c>
      <c r="H4" s="148">
        <v>439.79399999999998</v>
      </c>
      <c r="I4" s="149">
        <f t="shared" ref="I4:I13" si="0">H4*0.0003</f>
        <v>0.13193819999999998</v>
      </c>
      <c r="J4" s="150">
        <v>1.383</v>
      </c>
      <c r="K4" s="20">
        <f>[3]REFERENCE!$E$37</f>
        <v>0.59279999999999999</v>
      </c>
      <c r="L4" s="21">
        <f>H4*K4/1000</f>
        <v>0.26070988319999999</v>
      </c>
      <c r="M4" s="151"/>
      <c r="N4" s="20">
        <v>1</v>
      </c>
      <c r="O4" s="147">
        <v>45112</v>
      </c>
      <c r="P4" s="20" t="s">
        <v>83</v>
      </c>
      <c r="Q4" s="20">
        <v>6000</v>
      </c>
      <c r="R4" s="20" t="s">
        <v>84</v>
      </c>
      <c r="S4" s="20" t="s">
        <v>85</v>
      </c>
      <c r="T4" s="20">
        <v>51</v>
      </c>
      <c r="U4" s="20" t="s">
        <v>113</v>
      </c>
      <c r="V4" s="149">
        <f>T4*0.0003</f>
        <v>1.5299999999999999E-2</v>
      </c>
      <c r="X4" s="20">
        <f>[3]REFERENCE!$E$37</f>
        <v>0.59279999999999999</v>
      </c>
      <c r="Y4" s="21">
        <f>T4*X4/1000</f>
        <v>3.0232800000000001E-2</v>
      </c>
      <c r="Z4" s="151"/>
      <c r="AA4" s="22"/>
      <c r="AB4" s="29">
        <v>1</v>
      </c>
      <c r="AC4" s="147">
        <v>45112</v>
      </c>
      <c r="AD4" s="20" t="s">
        <v>83</v>
      </c>
      <c r="AE4" s="152">
        <v>6000</v>
      </c>
      <c r="AF4" s="20" t="s">
        <v>32</v>
      </c>
      <c r="AG4" s="152" t="s">
        <v>34</v>
      </c>
      <c r="AH4" s="20">
        <v>702</v>
      </c>
      <c r="AJ4" s="34">
        <f>[3]REFERENCE!$E$38</f>
        <v>9.9600000000000001E-3</v>
      </c>
      <c r="AK4" s="21">
        <f t="shared" ref="AK4:AK43" si="1">AE4*AH4*AJ4/10^6</f>
        <v>4.1951520000000006E-2</v>
      </c>
      <c r="AL4" s="22"/>
      <c r="AM4" s="16">
        <v>1</v>
      </c>
      <c r="AN4" s="153">
        <v>45112</v>
      </c>
      <c r="AO4" s="154" t="s">
        <v>83</v>
      </c>
      <c r="AP4" s="155">
        <v>6000</v>
      </c>
      <c r="AQ4" s="156" t="s">
        <v>34</v>
      </c>
      <c r="AR4" s="156" t="s">
        <v>86</v>
      </c>
      <c r="AS4" s="20" t="s">
        <v>114</v>
      </c>
      <c r="AT4" s="35">
        <v>7082</v>
      </c>
      <c r="AU4" s="36">
        <v>13115.86</v>
      </c>
      <c r="AV4" s="35">
        <f>[3]REFERENCE!$E$39</f>
        <v>8.3999999999999995E-3</v>
      </c>
      <c r="AW4" s="37">
        <f t="shared" ref="AW4:AW67" si="2">AP4*AU4*AV4/10^6</f>
        <v>0.66103934399999997</v>
      </c>
      <c r="AX4" s="22"/>
      <c r="AY4" s="16"/>
      <c r="AZ4" s="30"/>
      <c r="BA4" s="38"/>
      <c r="BB4" s="39"/>
      <c r="BC4" s="18"/>
      <c r="BD4" s="40"/>
      <c r="BE4" s="35"/>
      <c r="BG4" s="41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</row>
    <row r="5" spans="1:113" ht="16" x14ac:dyDescent="0.4">
      <c r="A5" s="16">
        <v>2</v>
      </c>
      <c r="B5" s="147">
        <v>45170</v>
      </c>
      <c r="C5" s="20" t="s">
        <v>28</v>
      </c>
      <c r="D5" s="20">
        <v>14766</v>
      </c>
      <c r="E5" s="20" t="s">
        <v>87</v>
      </c>
      <c r="F5" s="147" t="s">
        <v>88</v>
      </c>
      <c r="G5" s="20">
        <v>800</v>
      </c>
      <c r="H5" s="149">
        <v>908.676923076923</v>
      </c>
      <c r="I5" s="149">
        <f t="shared" si="0"/>
        <v>0.27260307692307689</v>
      </c>
      <c r="J5" s="150">
        <v>1.1358461538461539</v>
      </c>
      <c r="K5" s="20">
        <f>[3]REFERENCE!$E$37</f>
        <v>0.59279999999999999</v>
      </c>
      <c r="L5" s="21">
        <f t="shared" ref="L5:L13" si="3">H5*K5/1000</f>
        <v>0.53866367999999998</v>
      </c>
      <c r="M5" s="81"/>
      <c r="N5" s="20">
        <v>2</v>
      </c>
      <c r="O5" s="147">
        <v>45112</v>
      </c>
      <c r="P5" s="20" t="s">
        <v>54</v>
      </c>
      <c r="Q5" s="20">
        <v>400</v>
      </c>
      <c r="R5" s="20" t="s">
        <v>84</v>
      </c>
      <c r="S5" s="20" t="s">
        <v>89</v>
      </c>
      <c r="T5" s="20">
        <v>269</v>
      </c>
      <c r="U5" s="20" t="s">
        <v>113</v>
      </c>
      <c r="V5" s="149">
        <f t="shared" ref="V5:V68" si="4">T5*0.0003</f>
        <v>8.0699999999999994E-2</v>
      </c>
      <c r="W5" s="20"/>
      <c r="X5" s="20">
        <f>[3]REFERENCE!$E$37</f>
        <v>0.59279999999999999</v>
      </c>
      <c r="Y5" s="21">
        <f t="shared" ref="Y5:Y68" si="5">T5*X5/1000</f>
        <v>0.1594632</v>
      </c>
      <c r="Z5" s="81"/>
      <c r="AB5" s="29">
        <v>2</v>
      </c>
      <c r="AC5" s="147">
        <v>45140</v>
      </c>
      <c r="AD5" s="20" t="s">
        <v>90</v>
      </c>
      <c r="AE5" s="152">
        <v>6500</v>
      </c>
      <c r="AF5" s="20" t="s">
        <v>32</v>
      </c>
      <c r="AG5" s="152" t="s">
        <v>34</v>
      </c>
      <c r="AH5" s="20">
        <v>702</v>
      </c>
      <c r="AI5" s="20"/>
      <c r="AJ5" s="34">
        <f>[3]REFERENCE!$E$38</f>
        <v>9.9600000000000001E-3</v>
      </c>
      <c r="AK5" s="21">
        <f t="shared" si="1"/>
        <v>4.5447480000000005E-2</v>
      </c>
      <c r="AM5" s="16">
        <v>2</v>
      </c>
      <c r="AN5" s="147">
        <v>45112</v>
      </c>
      <c r="AO5" s="20" t="s">
        <v>54</v>
      </c>
      <c r="AP5" s="157">
        <v>400</v>
      </c>
      <c r="AQ5" s="20" t="s">
        <v>71</v>
      </c>
      <c r="AR5" s="152" t="s">
        <v>40</v>
      </c>
      <c r="AS5" s="20" t="s">
        <v>114</v>
      </c>
      <c r="AT5" s="49">
        <v>3447</v>
      </c>
      <c r="AU5" s="36">
        <v>6383.84</v>
      </c>
      <c r="AV5" s="35">
        <f>[3]REFERENCE!$E$39</f>
        <v>8.3999999999999995E-3</v>
      </c>
      <c r="AW5" s="37">
        <f t="shared" si="2"/>
        <v>2.1449702399999999E-2</v>
      </c>
      <c r="AY5" s="16"/>
      <c r="AZ5" s="43"/>
      <c r="BA5" s="40"/>
      <c r="BB5" s="44"/>
      <c r="BC5" s="18"/>
      <c r="BD5" s="18"/>
      <c r="BE5" s="35"/>
      <c r="BF5" s="20"/>
      <c r="BG5" s="41"/>
    </row>
    <row r="6" spans="1:113" ht="16" x14ac:dyDescent="0.4">
      <c r="A6" s="16">
        <v>3</v>
      </c>
      <c r="B6" s="147">
        <v>45170</v>
      </c>
      <c r="C6" s="20" t="s">
        <v>28</v>
      </c>
      <c r="D6" s="20">
        <v>13979.1</v>
      </c>
      <c r="E6" s="20" t="s">
        <v>91</v>
      </c>
      <c r="F6" s="147" t="s">
        <v>88</v>
      </c>
      <c r="G6" s="20">
        <v>250</v>
      </c>
      <c r="H6" s="149">
        <v>268.82884615384614</v>
      </c>
      <c r="I6" s="149">
        <f t="shared" si="0"/>
        <v>8.0648653846153842E-2</v>
      </c>
      <c r="J6" s="150">
        <v>1.0753153846153847</v>
      </c>
      <c r="K6" s="20">
        <f>[3]REFERENCE!$E$37</f>
        <v>0.59279999999999999</v>
      </c>
      <c r="L6" s="21">
        <f t="shared" si="3"/>
        <v>0.15936174</v>
      </c>
      <c r="M6" s="81"/>
      <c r="N6" s="20">
        <v>3</v>
      </c>
      <c r="O6" s="147">
        <v>45115</v>
      </c>
      <c r="P6" s="20" t="s">
        <v>49</v>
      </c>
      <c r="Q6" s="20">
        <v>25000</v>
      </c>
      <c r="R6" s="20" t="s">
        <v>84</v>
      </c>
      <c r="S6" s="20" t="s">
        <v>89</v>
      </c>
      <c r="T6" s="20">
        <v>269</v>
      </c>
      <c r="U6" s="20" t="s">
        <v>113</v>
      </c>
      <c r="V6" s="149">
        <f t="shared" si="4"/>
        <v>8.0699999999999994E-2</v>
      </c>
      <c r="W6" s="20"/>
      <c r="X6" s="20">
        <f>[3]REFERENCE!$E$37</f>
        <v>0.59279999999999999</v>
      </c>
      <c r="Y6" s="21">
        <f t="shared" si="5"/>
        <v>0.1594632</v>
      </c>
      <c r="Z6" s="81"/>
      <c r="AB6" s="29">
        <v>3</v>
      </c>
      <c r="AC6" s="147">
        <v>45185</v>
      </c>
      <c r="AD6" s="20" t="s">
        <v>48</v>
      </c>
      <c r="AE6" s="152">
        <v>24948</v>
      </c>
      <c r="AF6" s="20" t="s">
        <v>32</v>
      </c>
      <c r="AG6" s="152" t="s">
        <v>34</v>
      </c>
      <c r="AH6" s="20">
        <v>702</v>
      </c>
      <c r="AI6" s="20"/>
      <c r="AJ6" s="34">
        <f>[3]REFERENCE!$E$38</f>
        <v>9.9600000000000001E-3</v>
      </c>
      <c r="AK6" s="21">
        <f t="shared" si="1"/>
        <v>0.17443442016000002</v>
      </c>
      <c r="AM6" s="16">
        <v>3</v>
      </c>
      <c r="AN6" s="147">
        <v>45115</v>
      </c>
      <c r="AO6" s="20" t="s">
        <v>49</v>
      </c>
      <c r="AP6" s="157">
        <v>25000</v>
      </c>
      <c r="AQ6" s="20" t="s">
        <v>71</v>
      </c>
      <c r="AR6" s="152" t="s">
        <v>40</v>
      </c>
      <c r="AS6" s="20" t="s">
        <v>114</v>
      </c>
      <c r="AT6" s="49">
        <v>3447</v>
      </c>
      <c r="AU6" s="36">
        <v>6383.84</v>
      </c>
      <c r="AV6" s="35">
        <f>[3]REFERENCE!$E$39</f>
        <v>8.3999999999999995E-3</v>
      </c>
      <c r="AW6" s="37">
        <f t="shared" si="2"/>
        <v>1.3406064</v>
      </c>
      <c r="AY6" s="16"/>
      <c r="AZ6" s="20"/>
      <c r="BA6" s="20"/>
      <c r="BB6" s="20"/>
      <c r="BC6" s="20"/>
      <c r="BD6" s="20"/>
      <c r="BE6" s="20"/>
      <c r="BF6" s="20"/>
      <c r="BG6" s="41"/>
    </row>
    <row r="7" spans="1:113" ht="16" x14ac:dyDescent="0.4">
      <c r="A7" s="16">
        <v>4</v>
      </c>
      <c r="B7" s="147">
        <v>45200</v>
      </c>
      <c r="C7" s="20" t="s">
        <v>28</v>
      </c>
      <c r="D7" s="20">
        <v>13903</v>
      </c>
      <c r="E7" s="20" t="s">
        <v>87</v>
      </c>
      <c r="F7" s="147" t="s">
        <v>88</v>
      </c>
      <c r="G7" s="20">
        <v>545</v>
      </c>
      <c r="H7" s="149">
        <v>582.85653846153843</v>
      </c>
      <c r="I7" s="149">
        <f t="shared" si="0"/>
        <v>0.1748569615384615</v>
      </c>
      <c r="J7" s="150">
        <v>1.0694615384615385</v>
      </c>
      <c r="K7" s="20">
        <f>[3]REFERENCE!$E$37</f>
        <v>0.59279999999999999</v>
      </c>
      <c r="L7" s="21">
        <f t="shared" si="3"/>
        <v>0.345517356</v>
      </c>
      <c r="M7" s="81"/>
      <c r="N7" s="20">
        <v>4</v>
      </c>
      <c r="O7" s="147">
        <v>45115</v>
      </c>
      <c r="P7" s="20" t="s">
        <v>54</v>
      </c>
      <c r="Q7" s="20">
        <v>400</v>
      </c>
      <c r="R7" s="20" t="s">
        <v>84</v>
      </c>
      <c r="S7" s="20" t="s">
        <v>89</v>
      </c>
      <c r="T7" s="20">
        <v>269</v>
      </c>
      <c r="U7" s="20" t="s">
        <v>113</v>
      </c>
      <c r="V7" s="149">
        <f t="shared" si="4"/>
        <v>8.0699999999999994E-2</v>
      </c>
      <c r="W7" s="20"/>
      <c r="X7" s="20">
        <f>[3]REFERENCE!$E$37</f>
        <v>0.59279999999999999</v>
      </c>
      <c r="Y7" s="21">
        <f t="shared" si="5"/>
        <v>0.1594632</v>
      </c>
      <c r="Z7" s="81"/>
      <c r="AB7" s="29">
        <v>4</v>
      </c>
      <c r="AC7" s="147">
        <v>45185</v>
      </c>
      <c r="AD7" s="20" t="s">
        <v>92</v>
      </c>
      <c r="AE7" s="152">
        <v>24948</v>
      </c>
      <c r="AF7" s="20" t="s">
        <v>32</v>
      </c>
      <c r="AG7" s="152" t="s">
        <v>34</v>
      </c>
      <c r="AH7" s="20">
        <v>702</v>
      </c>
      <c r="AI7" s="20"/>
      <c r="AJ7" s="34">
        <f>[3]REFERENCE!$E$38</f>
        <v>9.9600000000000001E-3</v>
      </c>
      <c r="AK7" s="21">
        <f t="shared" si="1"/>
        <v>0.17443442016000002</v>
      </c>
      <c r="AM7" s="16">
        <v>4</v>
      </c>
      <c r="AN7" s="147">
        <v>45115</v>
      </c>
      <c r="AO7" s="20" t="s">
        <v>54</v>
      </c>
      <c r="AP7" s="157">
        <v>400</v>
      </c>
      <c r="AQ7" s="20" t="s">
        <v>71</v>
      </c>
      <c r="AR7" s="152" t="s">
        <v>40</v>
      </c>
      <c r="AS7" s="20" t="s">
        <v>114</v>
      </c>
      <c r="AT7" s="49">
        <v>3447</v>
      </c>
      <c r="AU7" s="36">
        <v>6383.84</v>
      </c>
      <c r="AV7" s="35">
        <f>[3]REFERENCE!$E$39</f>
        <v>8.3999999999999995E-3</v>
      </c>
      <c r="AW7" s="37">
        <f t="shared" si="2"/>
        <v>2.1449702399999999E-2</v>
      </c>
      <c r="AY7" s="16"/>
      <c r="AZ7" s="43"/>
      <c r="BA7" s="20"/>
      <c r="BB7" s="44"/>
      <c r="BC7" s="20"/>
      <c r="BD7" s="20"/>
      <c r="BE7" s="35"/>
      <c r="BF7" s="20"/>
      <c r="BG7" s="41"/>
    </row>
    <row r="8" spans="1:113" ht="16" x14ac:dyDescent="0.4">
      <c r="A8" s="16">
        <v>5</v>
      </c>
      <c r="B8" s="147">
        <v>45292</v>
      </c>
      <c r="C8" s="20" t="s">
        <v>28</v>
      </c>
      <c r="D8" s="158">
        <v>8922.64</v>
      </c>
      <c r="E8" s="20" t="s">
        <v>38</v>
      </c>
      <c r="F8" s="147" t="s">
        <v>82</v>
      </c>
      <c r="G8" s="20">
        <v>318</v>
      </c>
      <c r="H8" s="149">
        <v>218.26150153846154</v>
      </c>
      <c r="I8" s="149">
        <f t="shared" si="0"/>
        <v>6.5478450461538454E-2</v>
      </c>
      <c r="J8" s="150">
        <v>0.68635692307692309</v>
      </c>
      <c r="K8" s="20">
        <f>[3]REFERENCE!$E$37</f>
        <v>0.59279999999999999</v>
      </c>
      <c r="L8" s="21">
        <f t="shared" si="3"/>
        <v>0.12938541811199999</v>
      </c>
      <c r="M8" s="81"/>
      <c r="N8" s="20">
        <v>5</v>
      </c>
      <c r="O8" s="147">
        <v>45131</v>
      </c>
      <c r="P8" s="20" t="s">
        <v>54</v>
      </c>
      <c r="Q8" s="20">
        <v>60</v>
      </c>
      <c r="R8" s="20" t="s">
        <v>84</v>
      </c>
      <c r="S8" s="20" t="s">
        <v>89</v>
      </c>
      <c r="T8" s="20">
        <v>269</v>
      </c>
      <c r="U8" s="20" t="s">
        <v>113</v>
      </c>
      <c r="V8" s="149">
        <f t="shared" si="4"/>
        <v>8.0699999999999994E-2</v>
      </c>
      <c r="W8" s="20"/>
      <c r="X8" s="20">
        <f>[3]REFERENCE!$E$37</f>
        <v>0.59279999999999999</v>
      </c>
      <c r="Y8" s="21">
        <f t="shared" si="5"/>
        <v>0.1594632</v>
      </c>
      <c r="Z8" s="81"/>
      <c r="AB8" s="29">
        <v>5</v>
      </c>
      <c r="AC8" s="159">
        <v>45186</v>
      </c>
      <c r="AD8" s="20" t="s">
        <v>46</v>
      </c>
      <c r="AE8" s="152">
        <v>24902.639999999999</v>
      </c>
      <c r="AF8" s="20" t="s">
        <v>32</v>
      </c>
      <c r="AG8" s="152" t="s">
        <v>34</v>
      </c>
      <c r="AH8" s="20">
        <v>702</v>
      </c>
      <c r="AI8" s="20"/>
      <c r="AJ8" s="34">
        <f>[3]REFERENCE!$E$38</f>
        <v>9.9600000000000001E-3</v>
      </c>
      <c r="AK8" s="21">
        <f t="shared" si="1"/>
        <v>0.17411726666880001</v>
      </c>
      <c r="AM8" s="16">
        <v>5</v>
      </c>
      <c r="AN8" s="159">
        <v>45131</v>
      </c>
      <c r="AO8" s="20" t="s">
        <v>54</v>
      </c>
      <c r="AP8" s="157">
        <v>60</v>
      </c>
      <c r="AQ8" s="20" t="s">
        <v>71</v>
      </c>
      <c r="AR8" s="152" t="s">
        <v>40</v>
      </c>
      <c r="AS8" s="20" t="s">
        <v>114</v>
      </c>
      <c r="AT8" s="49">
        <v>3447</v>
      </c>
      <c r="AU8" s="36">
        <v>6383.84</v>
      </c>
      <c r="AV8" s="35">
        <f>[3]REFERENCE!$E$39</f>
        <v>8.3999999999999995E-3</v>
      </c>
      <c r="AW8" s="37">
        <f t="shared" si="2"/>
        <v>3.21745536E-3</v>
      </c>
      <c r="AY8" s="16"/>
      <c r="AZ8" s="43"/>
      <c r="BA8" s="20"/>
      <c r="BB8" s="44"/>
      <c r="BC8" s="20"/>
      <c r="BD8" s="20"/>
      <c r="BE8" s="35"/>
      <c r="BF8" s="20"/>
      <c r="BG8" s="41"/>
    </row>
    <row r="9" spans="1:113" ht="16" x14ac:dyDescent="0.4">
      <c r="A9" s="16">
        <v>6</v>
      </c>
      <c r="B9" s="147">
        <v>45292</v>
      </c>
      <c r="C9" s="20" t="s">
        <v>28</v>
      </c>
      <c r="D9" s="20">
        <v>7205</v>
      </c>
      <c r="E9" s="20" t="s">
        <v>87</v>
      </c>
      <c r="F9" s="147" t="s">
        <v>88</v>
      </c>
      <c r="G9" s="20">
        <v>800</v>
      </c>
      <c r="H9" s="149">
        <v>443.38461538461536</v>
      </c>
      <c r="I9" s="149">
        <f t="shared" si="0"/>
        <v>0.13301538461538459</v>
      </c>
      <c r="J9" s="150">
        <v>0.55423076923076919</v>
      </c>
      <c r="K9" s="20">
        <f>[3]REFERENCE!$E$37</f>
        <v>0.59279999999999999</v>
      </c>
      <c r="L9" s="21">
        <f t="shared" si="3"/>
        <v>0.26283839999999997</v>
      </c>
      <c r="M9" s="81"/>
      <c r="N9" s="20">
        <v>6</v>
      </c>
      <c r="O9" s="147">
        <v>45140</v>
      </c>
      <c r="P9" s="20" t="s">
        <v>90</v>
      </c>
      <c r="Q9" s="20">
        <v>6500</v>
      </c>
      <c r="R9" s="20" t="s">
        <v>84</v>
      </c>
      <c r="S9" s="20" t="s">
        <v>85</v>
      </c>
      <c r="T9" s="20">
        <v>51</v>
      </c>
      <c r="U9" s="20" t="s">
        <v>113</v>
      </c>
      <c r="V9" s="149">
        <f t="shared" si="4"/>
        <v>1.5299999999999999E-2</v>
      </c>
      <c r="W9" s="20"/>
      <c r="X9" s="20">
        <f>[3]REFERENCE!$E$37</f>
        <v>0.59279999999999999</v>
      </c>
      <c r="Y9" s="21">
        <f t="shared" si="5"/>
        <v>3.0232800000000001E-2</v>
      </c>
      <c r="Z9" s="81"/>
      <c r="AB9" s="29">
        <v>6</v>
      </c>
      <c r="AC9" s="159">
        <v>45195</v>
      </c>
      <c r="AD9" s="20" t="s">
        <v>93</v>
      </c>
      <c r="AE9" s="152">
        <v>4989.38</v>
      </c>
      <c r="AF9" s="20" t="s">
        <v>32</v>
      </c>
      <c r="AG9" s="152" t="s">
        <v>34</v>
      </c>
      <c r="AH9" s="20">
        <v>702</v>
      </c>
      <c r="AI9" s="20"/>
      <c r="AJ9" s="34">
        <f>[3]REFERENCE!$E$38</f>
        <v>9.9600000000000001E-3</v>
      </c>
      <c r="AK9" s="21">
        <f t="shared" si="1"/>
        <v>3.4885345809600003E-2</v>
      </c>
      <c r="AM9" s="16">
        <v>6</v>
      </c>
      <c r="AN9" s="159">
        <v>45140</v>
      </c>
      <c r="AO9" s="20" t="s">
        <v>90</v>
      </c>
      <c r="AP9" s="157">
        <v>6500</v>
      </c>
      <c r="AQ9" s="20" t="s">
        <v>34</v>
      </c>
      <c r="AR9" s="152" t="s">
        <v>94</v>
      </c>
      <c r="AS9" s="20" t="s">
        <v>114</v>
      </c>
      <c r="AT9" s="35">
        <v>7082</v>
      </c>
      <c r="AU9" s="36">
        <v>13115.86</v>
      </c>
      <c r="AV9" s="35">
        <f>[3]REFERENCE!$E$39</f>
        <v>8.3999999999999995E-3</v>
      </c>
      <c r="AW9" s="37">
        <f t="shared" si="2"/>
        <v>0.71612595599999995</v>
      </c>
      <c r="AY9" s="16"/>
      <c r="AZ9" s="43"/>
      <c r="BA9" s="20"/>
      <c r="BB9" s="44"/>
      <c r="BC9" s="20"/>
      <c r="BD9" s="20"/>
      <c r="BE9" s="35"/>
      <c r="BF9" s="20"/>
      <c r="BG9" s="41"/>
    </row>
    <row r="10" spans="1:113" ht="16" x14ac:dyDescent="0.4">
      <c r="A10" s="16">
        <v>7</v>
      </c>
      <c r="B10" s="147">
        <v>45292</v>
      </c>
      <c r="C10" s="20" t="s">
        <v>28</v>
      </c>
      <c r="D10" s="20">
        <v>26723.27</v>
      </c>
      <c r="E10" s="20" t="s">
        <v>91</v>
      </c>
      <c r="F10" s="147" t="s">
        <v>88</v>
      </c>
      <c r="G10" s="20">
        <v>250</v>
      </c>
      <c r="H10" s="149">
        <v>513.90903846153844</v>
      </c>
      <c r="I10" s="149">
        <f t="shared" si="0"/>
        <v>0.15417271153846152</v>
      </c>
      <c r="J10" s="150">
        <v>2.0556361538461538</v>
      </c>
      <c r="K10" s="20">
        <f>[3]REFERENCE!$E$37</f>
        <v>0.59279999999999999</v>
      </c>
      <c r="L10" s="21">
        <f t="shared" si="3"/>
        <v>0.30464527799999996</v>
      </c>
      <c r="M10" s="81"/>
      <c r="N10" s="20">
        <v>7</v>
      </c>
      <c r="O10" s="147">
        <v>45142</v>
      </c>
      <c r="P10" s="20" t="s">
        <v>49</v>
      </c>
      <c r="Q10" s="20">
        <v>25000</v>
      </c>
      <c r="R10" s="20" t="s">
        <v>84</v>
      </c>
      <c r="S10" s="20" t="s">
        <v>89</v>
      </c>
      <c r="T10" s="20">
        <v>269</v>
      </c>
      <c r="U10" s="20" t="s">
        <v>113</v>
      </c>
      <c r="V10" s="149">
        <f t="shared" si="4"/>
        <v>8.0699999999999994E-2</v>
      </c>
      <c r="W10" s="20"/>
      <c r="X10" s="20">
        <f>[3]REFERENCE!$E$37</f>
        <v>0.59279999999999999</v>
      </c>
      <c r="Y10" s="21">
        <f t="shared" si="5"/>
        <v>0.1594632</v>
      </c>
      <c r="Z10" s="81"/>
      <c r="AB10" s="29">
        <v>7</v>
      </c>
      <c r="AC10" s="159">
        <v>45209</v>
      </c>
      <c r="AD10" s="20" t="s">
        <v>44</v>
      </c>
      <c r="AE10" s="152">
        <v>24948</v>
      </c>
      <c r="AF10" s="20" t="s">
        <v>32</v>
      </c>
      <c r="AG10" s="152" t="s">
        <v>34</v>
      </c>
      <c r="AH10" s="20">
        <v>702</v>
      </c>
      <c r="AI10" s="20"/>
      <c r="AJ10" s="34">
        <f>[3]REFERENCE!$E$38</f>
        <v>9.9600000000000001E-3</v>
      </c>
      <c r="AK10" s="21">
        <f t="shared" si="1"/>
        <v>0.17443442016000002</v>
      </c>
      <c r="AM10" s="16">
        <v>7</v>
      </c>
      <c r="AN10" s="159">
        <v>45142</v>
      </c>
      <c r="AO10" s="20" t="s">
        <v>49</v>
      </c>
      <c r="AP10" s="157">
        <v>25000</v>
      </c>
      <c r="AQ10" s="20" t="s">
        <v>71</v>
      </c>
      <c r="AR10" s="152" t="s">
        <v>40</v>
      </c>
      <c r="AS10" s="20" t="s">
        <v>114</v>
      </c>
      <c r="AT10" s="49">
        <v>3447</v>
      </c>
      <c r="AU10" s="36">
        <v>6383.84</v>
      </c>
      <c r="AV10" s="35">
        <f>[3]REFERENCE!$E$39</f>
        <v>8.3999999999999995E-3</v>
      </c>
      <c r="AW10" s="37">
        <f t="shared" si="2"/>
        <v>1.3406064</v>
      </c>
      <c r="AY10" s="16"/>
      <c r="AZ10" s="43"/>
      <c r="BA10" s="20"/>
      <c r="BB10" s="44"/>
      <c r="BC10" s="20"/>
      <c r="BD10" s="20"/>
      <c r="BE10" s="35"/>
      <c r="BF10" s="20"/>
      <c r="BG10" s="41"/>
    </row>
    <row r="11" spans="1:113" ht="16" x14ac:dyDescent="0.4">
      <c r="A11" s="16">
        <v>8</v>
      </c>
      <c r="B11" s="147">
        <v>45352</v>
      </c>
      <c r="C11" s="20" t="s">
        <v>28</v>
      </c>
      <c r="D11" s="20">
        <v>8168</v>
      </c>
      <c r="E11" s="20" t="s">
        <v>87</v>
      </c>
      <c r="F11" s="147" t="s">
        <v>88</v>
      </c>
      <c r="G11" s="20">
        <v>800</v>
      </c>
      <c r="H11" s="149">
        <v>502.64615384615382</v>
      </c>
      <c r="I11" s="149">
        <f t="shared" si="0"/>
        <v>0.15079384615384614</v>
      </c>
      <c r="J11" s="150">
        <v>0.62830769230769223</v>
      </c>
      <c r="K11" s="20">
        <f>[3]REFERENCE!$E$37</f>
        <v>0.59279999999999999</v>
      </c>
      <c r="L11" s="21">
        <f t="shared" si="3"/>
        <v>0.29796864000000001</v>
      </c>
      <c r="M11" s="81"/>
      <c r="N11" s="20">
        <v>8</v>
      </c>
      <c r="O11" s="147">
        <v>45142</v>
      </c>
      <c r="P11" s="20" t="s">
        <v>54</v>
      </c>
      <c r="Q11" s="20">
        <v>400</v>
      </c>
      <c r="R11" s="20" t="s">
        <v>84</v>
      </c>
      <c r="S11" s="20" t="s">
        <v>89</v>
      </c>
      <c r="T11" s="20">
        <v>269</v>
      </c>
      <c r="U11" s="20" t="s">
        <v>113</v>
      </c>
      <c r="V11" s="149">
        <f t="shared" si="4"/>
        <v>8.0699999999999994E-2</v>
      </c>
      <c r="W11" s="20"/>
      <c r="X11" s="20">
        <f>[3]REFERENCE!$E$37</f>
        <v>0.59279999999999999</v>
      </c>
      <c r="Y11" s="21">
        <f t="shared" si="5"/>
        <v>0.1594632</v>
      </c>
      <c r="Z11" s="81"/>
      <c r="AB11" s="29">
        <v>8</v>
      </c>
      <c r="AC11" s="159">
        <v>45219</v>
      </c>
      <c r="AD11" s="20" t="s">
        <v>47</v>
      </c>
      <c r="AE11" s="152">
        <v>24946.968749999996</v>
      </c>
      <c r="AF11" s="20" t="s">
        <v>32</v>
      </c>
      <c r="AG11" s="152" t="s">
        <v>34</v>
      </c>
      <c r="AH11" s="20">
        <v>702</v>
      </c>
      <c r="AI11" s="20"/>
      <c r="AJ11" s="34">
        <f>[3]REFERENCE!$E$38</f>
        <v>9.9600000000000001E-3</v>
      </c>
      <c r="AK11" s="21">
        <f t="shared" si="1"/>
        <v>0.17442720974249995</v>
      </c>
      <c r="AM11" s="16">
        <v>8</v>
      </c>
      <c r="AN11" s="159">
        <v>45142</v>
      </c>
      <c r="AO11" s="20" t="s">
        <v>54</v>
      </c>
      <c r="AP11" s="157">
        <v>400</v>
      </c>
      <c r="AQ11" s="20" t="s">
        <v>71</v>
      </c>
      <c r="AR11" s="152" t="s">
        <v>40</v>
      </c>
      <c r="AS11" s="20" t="s">
        <v>114</v>
      </c>
      <c r="AT11" s="49">
        <v>3447</v>
      </c>
      <c r="AU11" s="36">
        <v>6383.84</v>
      </c>
      <c r="AV11" s="35">
        <f>[3]REFERENCE!$E$39</f>
        <v>8.3999999999999995E-3</v>
      </c>
      <c r="AW11" s="37">
        <f t="shared" si="2"/>
        <v>2.1449702399999999E-2</v>
      </c>
      <c r="AY11" s="16"/>
      <c r="AZ11" s="43"/>
      <c r="BA11" s="20"/>
      <c r="BB11" s="44"/>
      <c r="BC11" s="20"/>
      <c r="BD11" s="20"/>
      <c r="BE11" s="35"/>
      <c r="BF11" s="20"/>
      <c r="BG11" s="41"/>
    </row>
    <row r="12" spans="1:113" ht="16" x14ac:dyDescent="0.4">
      <c r="A12" s="16">
        <v>9</v>
      </c>
      <c r="B12" s="147">
        <v>45383</v>
      </c>
      <c r="C12" s="20" t="s">
        <v>28</v>
      </c>
      <c r="D12" s="20">
        <v>4690</v>
      </c>
      <c r="E12" s="20" t="s">
        <v>29</v>
      </c>
      <c r="F12" s="147" t="s">
        <v>88</v>
      </c>
      <c r="G12" s="20">
        <v>250</v>
      </c>
      <c r="H12" s="149">
        <v>90.192307692307693</v>
      </c>
      <c r="I12" s="149">
        <f t="shared" si="0"/>
        <v>2.7057692307692307E-2</v>
      </c>
      <c r="J12" s="150">
        <v>0.36076923076923079</v>
      </c>
      <c r="K12" s="20">
        <f>[3]REFERENCE!$E$37</f>
        <v>0.59279999999999999</v>
      </c>
      <c r="L12" s="21">
        <f t="shared" si="3"/>
        <v>5.3466E-2</v>
      </c>
      <c r="M12" s="81"/>
      <c r="N12" s="20">
        <v>9</v>
      </c>
      <c r="O12" s="147">
        <v>45160</v>
      </c>
      <c r="P12" s="20" t="s">
        <v>49</v>
      </c>
      <c r="Q12" s="20">
        <v>25000</v>
      </c>
      <c r="R12" s="20" t="s">
        <v>84</v>
      </c>
      <c r="S12" s="20" t="s">
        <v>89</v>
      </c>
      <c r="T12" s="20">
        <v>269</v>
      </c>
      <c r="U12" s="20" t="s">
        <v>113</v>
      </c>
      <c r="V12" s="149">
        <f t="shared" si="4"/>
        <v>8.0699999999999994E-2</v>
      </c>
      <c r="W12" s="20"/>
      <c r="X12" s="20">
        <f>[3]REFERENCE!$E$37</f>
        <v>0.59279999999999999</v>
      </c>
      <c r="Y12" s="21">
        <f t="shared" si="5"/>
        <v>0.1594632</v>
      </c>
      <c r="Z12" s="81"/>
      <c r="AB12" s="29">
        <v>9</v>
      </c>
      <c r="AC12" s="159">
        <v>45219</v>
      </c>
      <c r="AD12" s="20" t="s">
        <v>44</v>
      </c>
      <c r="AE12" s="152">
        <v>24948</v>
      </c>
      <c r="AF12" s="20" t="s">
        <v>32</v>
      </c>
      <c r="AG12" s="152" t="s">
        <v>34</v>
      </c>
      <c r="AH12" s="20">
        <v>702</v>
      </c>
      <c r="AI12" s="20"/>
      <c r="AJ12" s="34">
        <f>[3]REFERENCE!$E$38</f>
        <v>9.9600000000000001E-3</v>
      </c>
      <c r="AK12" s="21">
        <f t="shared" si="1"/>
        <v>0.17443442016000002</v>
      </c>
      <c r="AM12" s="16">
        <v>9</v>
      </c>
      <c r="AN12" s="159">
        <v>45160</v>
      </c>
      <c r="AO12" s="20" t="s">
        <v>49</v>
      </c>
      <c r="AP12" s="157">
        <v>25000</v>
      </c>
      <c r="AQ12" s="20" t="s">
        <v>71</v>
      </c>
      <c r="AR12" s="152" t="s">
        <v>40</v>
      </c>
      <c r="AS12" s="20" t="s">
        <v>114</v>
      </c>
      <c r="AT12" s="49">
        <v>3447</v>
      </c>
      <c r="AU12" s="36">
        <v>6383.84</v>
      </c>
      <c r="AV12" s="35">
        <f>[3]REFERENCE!$E$39</f>
        <v>8.3999999999999995E-3</v>
      </c>
      <c r="AW12" s="37">
        <f t="shared" si="2"/>
        <v>1.3406064</v>
      </c>
      <c r="AY12" s="16"/>
      <c r="AZ12" s="43"/>
      <c r="BA12" s="20"/>
      <c r="BB12" s="44"/>
      <c r="BC12" s="20"/>
      <c r="BD12" s="20"/>
      <c r="BE12" s="35"/>
      <c r="BF12" s="20"/>
      <c r="BG12" s="41"/>
    </row>
    <row r="13" spans="1:113" ht="16" x14ac:dyDescent="0.4">
      <c r="A13" s="16">
        <v>10</v>
      </c>
      <c r="B13" s="147">
        <v>45413</v>
      </c>
      <c r="C13" s="20" t="s">
        <v>28</v>
      </c>
      <c r="D13" s="20">
        <v>770</v>
      </c>
      <c r="E13" s="20" t="s">
        <v>95</v>
      </c>
      <c r="F13" s="147" t="s">
        <v>88</v>
      </c>
      <c r="G13" s="20">
        <v>800</v>
      </c>
      <c r="H13" s="149">
        <v>47.384615384615387</v>
      </c>
      <c r="I13" s="149">
        <f t="shared" si="0"/>
        <v>1.4215384615384614E-2</v>
      </c>
      <c r="J13" s="150">
        <v>5.9230769230769233E-2</v>
      </c>
      <c r="K13" s="20">
        <f>[3]REFERENCE!$E$37</f>
        <v>0.59279999999999999</v>
      </c>
      <c r="L13" s="21">
        <f t="shared" si="3"/>
        <v>2.8089599999999999E-2</v>
      </c>
      <c r="M13" s="81"/>
      <c r="N13" s="20">
        <v>10</v>
      </c>
      <c r="O13" s="147">
        <v>45160</v>
      </c>
      <c r="P13" s="20" t="s">
        <v>54</v>
      </c>
      <c r="Q13" s="20">
        <v>400</v>
      </c>
      <c r="R13" s="20" t="s">
        <v>84</v>
      </c>
      <c r="S13" s="20" t="s">
        <v>89</v>
      </c>
      <c r="T13" s="20">
        <v>269</v>
      </c>
      <c r="U13" s="20" t="s">
        <v>113</v>
      </c>
      <c r="V13" s="149">
        <f t="shared" si="4"/>
        <v>8.0699999999999994E-2</v>
      </c>
      <c r="W13" s="20"/>
      <c r="X13" s="20">
        <f>[3]REFERENCE!$E$37</f>
        <v>0.59279999999999999</v>
      </c>
      <c r="Y13" s="21">
        <f t="shared" si="5"/>
        <v>0.1594632</v>
      </c>
      <c r="Z13" s="81"/>
      <c r="AB13" s="29">
        <v>10</v>
      </c>
      <c r="AC13" s="159">
        <v>45230</v>
      </c>
      <c r="AD13" s="20" t="s">
        <v>93</v>
      </c>
      <c r="AE13" s="152">
        <v>10000</v>
      </c>
      <c r="AF13" s="20" t="s">
        <v>32</v>
      </c>
      <c r="AG13" s="152" t="s">
        <v>34</v>
      </c>
      <c r="AH13" s="20">
        <v>702</v>
      </c>
      <c r="AI13" s="20"/>
      <c r="AJ13" s="34">
        <f>[3]REFERENCE!$E$38</f>
        <v>9.9600000000000001E-3</v>
      </c>
      <c r="AK13" s="21">
        <f t="shared" si="1"/>
        <v>6.9919200000000001E-2</v>
      </c>
      <c r="AM13" s="16">
        <v>10</v>
      </c>
      <c r="AN13" s="159">
        <v>45160</v>
      </c>
      <c r="AO13" s="20" t="s">
        <v>54</v>
      </c>
      <c r="AP13" s="157">
        <v>400</v>
      </c>
      <c r="AQ13" s="20" t="s">
        <v>71</v>
      </c>
      <c r="AR13" s="152" t="s">
        <v>40</v>
      </c>
      <c r="AS13" s="20" t="s">
        <v>114</v>
      </c>
      <c r="AT13" s="49">
        <v>3447</v>
      </c>
      <c r="AU13" s="36">
        <v>6383.84</v>
      </c>
      <c r="AV13" s="35">
        <f>[3]REFERENCE!$E$39</f>
        <v>8.3999999999999995E-3</v>
      </c>
      <c r="AW13" s="37">
        <f t="shared" si="2"/>
        <v>2.1449702399999999E-2</v>
      </c>
      <c r="AY13" s="16"/>
      <c r="AZ13" s="43"/>
      <c r="BA13" s="20"/>
      <c r="BB13" s="44"/>
      <c r="BC13" s="20"/>
      <c r="BD13" s="20"/>
      <c r="BE13" s="35"/>
      <c r="BF13" s="20"/>
      <c r="BG13" s="41"/>
    </row>
    <row r="14" spans="1:113" ht="16" x14ac:dyDescent="0.4">
      <c r="A14" s="16">
        <v>11</v>
      </c>
      <c r="B14" s="45"/>
      <c r="C14" s="52"/>
      <c r="D14" s="19"/>
      <c r="E14" s="20"/>
      <c r="F14" s="20"/>
      <c r="G14" s="20"/>
      <c r="H14" s="20"/>
      <c r="I14" s="20"/>
      <c r="J14" s="53"/>
      <c r="K14" s="20"/>
      <c r="L14" s="21"/>
      <c r="M14" s="81"/>
      <c r="N14" s="20">
        <v>11</v>
      </c>
      <c r="O14" s="147">
        <v>45178</v>
      </c>
      <c r="P14" s="20" t="s">
        <v>49</v>
      </c>
      <c r="Q14" s="20">
        <v>25000</v>
      </c>
      <c r="R14" s="20" t="s">
        <v>84</v>
      </c>
      <c r="S14" s="20" t="s">
        <v>89</v>
      </c>
      <c r="T14" s="20">
        <v>269</v>
      </c>
      <c r="U14" s="20" t="s">
        <v>113</v>
      </c>
      <c r="V14" s="149">
        <f t="shared" si="4"/>
        <v>8.0699999999999994E-2</v>
      </c>
      <c r="W14" s="20"/>
      <c r="X14" s="20">
        <f>[3]REFERENCE!$E$37</f>
        <v>0.59279999999999999</v>
      </c>
      <c r="Y14" s="21">
        <f t="shared" si="5"/>
        <v>0.1594632</v>
      </c>
      <c r="Z14" s="81"/>
      <c r="AB14" s="29">
        <v>11</v>
      </c>
      <c r="AC14" s="159">
        <v>45233</v>
      </c>
      <c r="AD14" s="20" t="s">
        <v>46</v>
      </c>
      <c r="AE14" s="152">
        <v>24948</v>
      </c>
      <c r="AF14" s="20" t="s">
        <v>32</v>
      </c>
      <c r="AG14" s="152" t="s">
        <v>34</v>
      </c>
      <c r="AH14" s="20">
        <v>702</v>
      </c>
      <c r="AI14" s="20"/>
      <c r="AJ14" s="34">
        <f>[3]REFERENCE!$E$38</f>
        <v>9.9600000000000001E-3</v>
      </c>
      <c r="AK14" s="21">
        <f t="shared" si="1"/>
        <v>0.17443442016000002</v>
      </c>
      <c r="AM14" s="16">
        <v>11</v>
      </c>
      <c r="AN14" s="159">
        <v>45178</v>
      </c>
      <c r="AO14" s="20" t="s">
        <v>49</v>
      </c>
      <c r="AP14" s="157">
        <v>25000</v>
      </c>
      <c r="AQ14" s="20" t="s">
        <v>71</v>
      </c>
      <c r="AR14" s="152" t="s">
        <v>40</v>
      </c>
      <c r="AS14" s="20" t="s">
        <v>114</v>
      </c>
      <c r="AT14" s="49">
        <v>3447</v>
      </c>
      <c r="AU14" s="36">
        <v>6383.84</v>
      </c>
      <c r="AV14" s="35">
        <f>[3]REFERENCE!$E$39</f>
        <v>8.3999999999999995E-3</v>
      </c>
      <c r="AW14" s="37">
        <f t="shared" si="2"/>
        <v>1.3406064</v>
      </c>
      <c r="AY14" s="16"/>
      <c r="AZ14" s="43"/>
      <c r="BA14" s="20"/>
      <c r="BB14" s="44"/>
      <c r="BC14" s="20"/>
      <c r="BD14" s="20"/>
      <c r="BE14" s="35"/>
      <c r="BF14" s="20"/>
      <c r="BG14" s="41"/>
    </row>
    <row r="15" spans="1:113" ht="16" x14ac:dyDescent="0.4">
      <c r="A15" s="16">
        <v>12</v>
      </c>
      <c r="B15" s="45"/>
      <c r="C15" s="52"/>
      <c r="D15" s="19"/>
      <c r="E15" s="20"/>
      <c r="F15" s="20"/>
      <c r="G15" s="20"/>
      <c r="H15" s="20"/>
      <c r="I15" s="20"/>
      <c r="J15" s="53"/>
      <c r="K15" s="20"/>
      <c r="L15" s="21"/>
      <c r="M15" s="81"/>
      <c r="N15" s="20">
        <v>12</v>
      </c>
      <c r="O15" s="147">
        <v>45178</v>
      </c>
      <c r="P15" s="20" t="s">
        <v>54</v>
      </c>
      <c r="Q15" s="20">
        <v>400</v>
      </c>
      <c r="R15" s="20" t="s">
        <v>84</v>
      </c>
      <c r="S15" s="20" t="s">
        <v>89</v>
      </c>
      <c r="T15" s="20">
        <v>269</v>
      </c>
      <c r="U15" s="20" t="s">
        <v>113</v>
      </c>
      <c r="V15" s="149">
        <f t="shared" si="4"/>
        <v>8.0699999999999994E-2</v>
      </c>
      <c r="W15" s="20"/>
      <c r="X15" s="20">
        <f>[3]REFERENCE!$E$37</f>
        <v>0.59279999999999999</v>
      </c>
      <c r="Y15" s="21">
        <f t="shared" si="5"/>
        <v>0.1594632</v>
      </c>
      <c r="Z15" s="81"/>
      <c r="AB15" s="29">
        <v>12</v>
      </c>
      <c r="AC15" s="159">
        <v>45246</v>
      </c>
      <c r="AD15" s="20" t="s">
        <v>96</v>
      </c>
      <c r="AE15" s="152">
        <v>625</v>
      </c>
      <c r="AF15" s="20" t="s">
        <v>32</v>
      </c>
      <c r="AG15" s="152" t="s">
        <v>34</v>
      </c>
      <c r="AH15" s="20">
        <v>702</v>
      </c>
      <c r="AI15" s="20"/>
      <c r="AJ15" s="34">
        <f>[3]REFERENCE!$E$38</f>
        <v>9.9600000000000001E-3</v>
      </c>
      <c r="AK15" s="21">
        <f t="shared" si="1"/>
        <v>4.36995E-3</v>
      </c>
      <c r="AM15" s="16">
        <v>12</v>
      </c>
      <c r="AN15" s="159">
        <v>45178</v>
      </c>
      <c r="AO15" s="20" t="s">
        <v>54</v>
      </c>
      <c r="AP15" s="157">
        <v>400</v>
      </c>
      <c r="AQ15" s="20" t="s">
        <v>71</v>
      </c>
      <c r="AR15" s="152" t="s">
        <v>40</v>
      </c>
      <c r="AS15" s="20" t="s">
        <v>114</v>
      </c>
      <c r="AT15" s="49">
        <v>3447</v>
      </c>
      <c r="AU15" s="36">
        <v>6383.84</v>
      </c>
      <c r="AV15" s="35">
        <f>[3]REFERENCE!$E$39</f>
        <v>8.3999999999999995E-3</v>
      </c>
      <c r="AW15" s="37">
        <f t="shared" si="2"/>
        <v>2.1449702399999999E-2</v>
      </c>
      <c r="AY15" s="16"/>
      <c r="AZ15" s="43"/>
      <c r="BA15" s="20"/>
      <c r="BB15" s="44"/>
      <c r="BC15" s="20"/>
      <c r="BD15" s="20"/>
      <c r="BE15" s="35"/>
      <c r="BF15" s="20"/>
      <c r="BG15" s="41"/>
    </row>
    <row r="16" spans="1:113" ht="16" x14ac:dyDescent="0.4">
      <c r="A16" s="16">
        <v>13</v>
      </c>
      <c r="B16" s="45"/>
      <c r="C16" s="52"/>
      <c r="D16" s="19"/>
      <c r="E16" s="20"/>
      <c r="F16" s="20"/>
      <c r="G16" s="20"/>
      <c r="H16" s="20"/>
      <c r="I16" s="20"/>
      <c r="J16" s="53"/>
      <c r="K16" s="20"/>
      <c r="L16" s="21"/>
      <c r="M16" s="81"/>
      <c r="N16" s="20">
        <v>13</v>
      </c>
      <c r="O16" s="147">
        <v>45185</v>
      </c>
      <c r="P16" s="20" t="s">
        <v>48</v>
      </c>
      <c r="Q16" s="20">
        <v>24948</v>
      </c>
      <c r="R16" s="20" t="s">
        <v>84</v>
      </c>
      <c r="S16" s="20" t="s">
        <v>85</v>
      </c>
      <c r="T16" s="20">
        <v>51</v>
      </c>
      <c r="U16" s="20" t="s">
        <v>113</v>
      </c>
      <c r="V16" s="149">
        <f t="shared" si="4"/>
        <v>1.5299999999999999E-2</v>
      </c>
      <c r="W16" s="20"/>
      <c r="X16" s="20">
        <f>[3]REFERENCE!$E$37</f>
        <v>0.59279999999999999</v>
      </c>
      <c r="Y16" s="21">
        <f t="shared" si="5"/>
        <v>3.0232800000000001E-2</v>
      </c>
      <c r="Z16" s="81"/>
      <c r="AB16" s="29">
        <v>13</v>
      </c>
      <c r="AC16" s="159">
        <v>45251</v>
      </c>
      <c r="AD16" s="20" t="s">
        <v>47</v>
      </c>
      <c r="AE16" s="152">
        <v>24946.968749999996</v>
      </c>
      <c r="AF16" s="20" t="s">
        <v>32</v>
      </c>
      <c r="AG16" s="152" t="s">
        <v>34</v>
      </c>
      <c r="AH16" s="20">
        <v>702</v>
      </c>
      <c r="AI16" s="20"/>
      <c r="AJ16" s="34">
        <f>[3]REFERENCE!$E$38</f>
        <v>9.9600000000000001E-3</v>
      </c>
      <c r="AK16" s="21">
        <f t="shared" si="1"/>
        <v>0.17442720974249995</v>
      </c>
      <c r="AM16" s="16">
        <v>13</v>
      </c>
      <c r="AN16" s="159">
        <v>45185</v>
      </c>
      <c r="AO16" s="20" t="s">
        <v>48</v>
      </c>
      <c r="AP16" s="157">
        <v>24948</v>
      </c>
      <c r="AQ16" s="20" t="s">
        <v>34</v>
      </c>
      <c r="AR16" s="152" t="s">
        <v>97</v>
      </c>
      <c r="AS16" s="20" t="s">
        <v>114</v>
      </c>
      <c r="AT16" s="51">
        <v>9036</v>
      </c>
      <c r="AU16" s="36">
        <v>16734.672000000002</v>
      </c>
      <c r="AV16" s="35">
        <f>[3]REFERENCE!$E$39</f>
        <v>8.3999999999999995E-3</v>
      </c>
      <c r="AW16" s="37">
        <f t="shared" si="2"/>
        <v>3.5069714152704003</v>
      </c>
      <c r="AY16" s="16"/>
      <c r="AZ16" s="43"/>
      <c r="BA16" s="20"/>
      <c r="BB16" s="44"/>
      <c r="BC16" s="20"/>
      <c r="BD16" s="20"/>
      <c r="BE16" s="35"/>
      <c r="BF16" s="20"/>
      <c r="BG16" s="41"/>
    </row>
    <row r="17" spans="1:59" ht="16" x14ac:dyDescent="0.4">
      <c r="A17" s="16">
        <v>14</v>
      </c>
      <c r="B17" s="45"/>
      <c r="C17" s="52"/>
      <c r="D17" s="19"/>
      <c r="E17" s="20"/>
      <c r="F17" s="20"/>
      <c r="G17" s="20"/>
      <c r="H17" s="20"/>
      <c r="I17" s="20"/>
      <c r="J17" s="53"/>
      <c r="K17" s="20"/>
      <c r="L17" s="21"/>
      <c r="M17" s="81"/>
      <c r="N17" s="20">
        <v>14</v>
      </c>
      <c r="O17" s="147">
        <v>45185</v>
      </c>
      <c r="P17" s="20" t="s">
        <v>92</v>
      </c>
      <c r="Q17" s="20">
        <v>24948</v>
      </c>
      <c r="R17" s="20" t="s">
        <v>84</v>
      </c>
      <c r="S17" s="20" t="s">
        <v>85</v>
      </c>
      <c r="T17" s="20">
        <v>51</v>
      </c>
      <c r="U17" s="20" t="s">
        <v>113</v>
      </c>
      <c r="V17" s="149">
        <f t="shared" si="4"/>
        <v>1.5299999999999999E-2</v>
      </c>
      <c r="W17" s="20"/>
      <c r="X17" s="20">
        <f>[3]REFERENCE!$E$37</f>
        <v>0.59279999999999999</v>
      </c>
      <c r="Y17" s="21">
        <f t="shared" si="5"/>
        <v>3.0232800000000001E-2</v>
      </c>
      <c r="Z17" s="81"/>
      <c r="AB17" s="29">
        <v>14</v>
      </c>
      <c r="AC17" s="159">
        <v>45288</v>
      </c>
      <c r="AD17" s="20" t="s">
        <v>83</v>
      </c>
      <c r="AE17" s="152">
        <v>7500</v>
      </c>
      <c r="AF17" s="20" t="s">
        <v>32</v>
      </c>
      <c r="AG17" s="152" t="s">
        <v>34</v>
      </c>
      <c r="AH17" s="20">
        <v>702</v>
      </c>
      <c r="AI17" s="20"/>
      <c r="AJ17" s="34">
        <f>[3]REFERENCE!$E$38</f>
        <v>9.9600000000000001E-3</v>
      </c>
      <c r="AK17" s="21">
        <f t="shared" si="1"/>
        <v>5.2439400000000004E-2</v>
      </c>
      <c r="AM17" s="16">
        <v>14</v>
      </c>
      <c r="AN17" s="159">
        <v>45185</v>
      </c>
      <c r="AO17" s="20" t="s">
        <v>92</v>
      </c>
      <c r="AP17" s="157">
        <v>24948</v>
      </c>
      <c r="AQ17" s="20" t="s">
        <v>34</v>
      </c>
      <c r="AR17" s="152" t="s">
        <v>97</v>
      </c>
      <c r="AS17" s="20" t="s">
        <v>114</v>
      </c>
      <c r="AT17" s="51">
        <v>9036</v>
      </c>
      <c r="AU17" s="36">
        <v>16734.672000000002</v>
      </c>
      <c r="AV17" s="35">
        <f>[3]REFERENCE!$E$39</f>
        <v>8.3999999999999995E-3</v>
      </c>
      <c r="AW17" s="37">
        <f t="shared" si="2"/>
        <v>3.5069714152704003</v>
      </c>
      <c r="AY17" s="16"/>
      <c r="AZ17" s="43"/>
      <c r="BA17" s="20"/>
      <c r="BB17" s="44"/>
      <c r="BC17" s="20"/>
      <c r="BD17" s="20"/>
      <c r="BE17" s="35"/>
      <c r="BF17" s="20"/>
      <c r="BG17" s="41"/>
    </row>
    <row r="18" spans="1:59" ht="16" x14ac:dyDescent="0.4">
      <c r="A18" s="16">
        <v>15</v>
      </c>
      <c r="B18" s="45"/>
      <c r="C18" s="52"/>
      <c r="D18" s="19"/>
      <c r="E18" s="20"/>
      <c r="F18" s="20"/>
      <c r="G18" s="20"/>
      <c r="H18" s="20"/>
      <c r="I18" s="20"/>
      <c r="J18" s="53"/>
      <c r="K18" s="20"/>
      <c r="L18" s="21"/>
      <c r="M18" s="81"/>
      <c r="N18" s="20">
        <v>15</v>
      </c>
      <c r="O18" s="147">
        <v>45186</v>
      </c>
      <c r="P18" s="20" t="s">
        <v>46</v>
      </c>
      <c r="Q18" s="20">
        <v>24902.639999999999</v>
      </c>
      <c r="R18" s="20" t="s">
        <v>84</v>
      </c>
      <c r="S18" s="20" t="s">
        <v>85</v>
      </c>
      <c r="T18" s="20">
        <v>51</v>
      </c>
      <c r="U18" s="20" t="s">
        <v>113</v>
      </c>
      <c r="V18" s="149">
        <f t="shared" si="4"/>
        <v>1.5299999999999999E-2</v>
      </c>
      <c r="W18" s="20"/>
      <c r="X18" s="20">
        <f>[3]REFERENCE!$E$37</f>
        <v>0.59279999999999999</v>
      </c>
      <c r="Y18" s="21">
        <f t="shared" si="5"/>
        <v>3.0232800000000001E-2</v>
      </c>
      <c r="Z18" s="81"/>
      <c r="AB18" s="29">
        <v>15</v>
      </c>
      <c r="AC18" s="159">
        <v>45320</v>
      </c>
      <c r="AD18" s="20" t="s">
        <v>92</v>
      </c>
      <c r="AE18" s="152">
        <v>24948</v>
      </c>
      <c r="AF18" s="20" t="s">
        <v>32</v>
      </c>
      <c r="AG18" s="152" t="s">
        <v>34</v>
      </c>
      <c r="AH18" s="20">
        <v>702</v>
      </c>
      <c r="AI18" s="20"/>
      <c r="AJ18" s="34">
        <f>[3]REFERENCE!$E$38</f>
        <v>9.9600000000000001E-3</v>
      </c>
      <c r="AK18" s="21">
        <f t="shared" si="1"/>
        <v>0.17443442016000002</v>
      </c>
      <c r="AM18" s="16">
        <v>15</v>
      </c>
      <c r="AN18" s="159">
        <v>45186</v>
      </c>
      <c r="AO18" s="20" t="s">
        <v>46</v>
      </c>
      <c r="AP18" s="157">
        <v>24902.639999999999</v>
      </c>
      <c r="AQ18" s="20" t="s">
        <v>34</v>
      </c>
      <c r="AR18" s="152" t="s">
        <v>97</v>
      </c>
      <c r="AS18" s="20" t="s">
        <v>114</v>
      </c>
      <c r="AT18" s="51">
        <v>9036</v>
      </c>
      <c r="AU18" s="36">
        <v>16734.672000000002</v>
      </c>
      <c r="AV18" s="35">
        <f>[3]REFERENCE!$E$39</f>
        <v>8.3999999999999995E-3</v>
      </c>
      <c r="AW18" s="37">
        <f t="shared" si="2"/>
        <v>3.5005951036062721</v>
      </c>
      <c r="AY18" s="16"/>
      <c r="AZ18" s="43"/>
      <c r="BA18" s="20"/>
      <c r="BB18" s="44"/>
      <c r="BC18" s="20"/>
      <c r="BD18" s="20"/>
      <c r="BE18" s="35"/>
      <c r="BF18" s="20"/>
      <c r="BG18" s="41"/>
    </row>
    <row r="19" spans="1:59" ht="16" x14ac:dyDescent="0.4">
      <c r="A19" s="16">
        <v>16</v>
      </c>
      <c r="B19" s="45"/>
      <c r="C19" s="52"/>
      <c r="D19" s="19"/>
      <c r="E19" s="20"/>
      <c r="F19" s="20"/>
      <c r="G19" s="20"/>
      <c r="H19" s="20"/>
      <c r="I19" s="20"/>
      <c r="J19" s="53"/>
      <c r="K19" s="20"/>
      <c r="L19" s="21"/>
      <c r="M19" s="81"/>
      <c r="N19" s="20">
        <v>16</v>
      </c>
      <c r="O19" s="147">
        <v>45195</v>
      </c>
      <c r="P19" s="20" t="s">
        <v>93</v>
      </c>
      <c r="Q19" s="20">
        <v>4989.38</v>
      </c>
      <c r="R19" s="20" t="s">
        <v>84</v>
      </c>
      <c r="S19" s="20" t="s">
        <v>85</v>
      </c>
      <c r="T19" s="20">
        <v>51</v>
      </c>
      <c r="U19" s="20" t="s">
        <v>113</v>
      </c>
      <c r="V19" s="149">
        <f t="shared" si="4"/>
        <v>1.5299999999999999E-2</v>
      </c>
      <c r="W19" s="20"/>
      <c r="X19" s="20">
        <f>[3]REFERENCE!$E$37</f>
        <v>0.59279999999999999</v>
      </c>
      <c r="Y19" s="21">
        <f t="shared" si="5"/>
        <v>3.0232800000000001E-2</v>
      </c>
      <c r="Z19" s="81"/>
      <c r="AB19" s="29">
        <v>16</v>
      </c>
      <c r="AC19" s="159">
        <v>45325</v>
      </c>
      <c r="AD19" s="20" t="s">
        <v>98</v>
      </c>
      <c r="AE19" s="152">
        <v>24948</v>
      </c>
      <c r="AF19" s="20" t="s">
        <v>32</v>
      </c>
      <c r="AG19" s="152" t="s">
        <v>34</v>
      </c>
      <c r="AH19" s="20">
        <v>702</v>
      </c>
      <c r="AI19" s="20"/>
      <c r="AJ19" s="34">
        <f>[3]REFERENCE!$E$38</f>
        <v>9.9600000000000001E-3</v>
      </c>
      <c r="AK19" s="21">
        <f t="shared" si="1"/>
        <v>0.17443442016000002</v>
      </c>
      <c r="AM19" s="16">
        <v>16</v>
      </c>
      <c r="AN19" s="159">
        <v>45195</v>
      </c>
      <c r="AO19" s="20" t="s">
        <v>93</v>
      </c>
      <c r="AP19" s="157">
        <v>4989.38</v>
      </c>
      <c r="AQ19" s="20" t="s">
        <v>34</v>
      </c>
      <c r="AR19" s="152" t="s">
        <v>97</v>
      </c>
      <c r="AS19" s="20" t="s">
        <v>114</v>
      </c>
      <c r="AT19" s="51">
        <v>9036</v>
      </c>
      <c r="AU19" s="36">
        <v>16734.672000000002</v>
      </c>
      <c r="AV19" s="35">
        <f>[3]REFERENCE!$E$39</f>
        <v>8.3999999999999995E-3</v>
      </c>
      <c r="AW19" s="37">
        <f t="shared" si="2"/>
        <v>0.70136335738022415</v>
      </c>
      <c r="AY19" s="16"/>
      <c r="AZ19" s="43"/>
      <c r="BA19" s="20"/>
      <c r="BB19" s="44"/>
      <c r="BC19" s="20"/>
      <c r="BD19" s="20"/>
      <c r="BE19" s="35"/>
      <c r="BF19" s="20"/>
      <c r="BG19" s="41"/>
    </row>
    <row r="20" spans="1:59" ht="16" x14ac:dyDescent="0.4">
      <c r="A20" s="16">
        <v>17</v>
      </c>
      <c r="B20" s="45"/>
      <c r="C20" s="44"/>
      <c r="D20" s="19"/>
      <c r="E20" s="20"/>
      <c r="F20" s="20"/>
      <c r="G20" s="20"/>
      <c r="H20" s="20"/>
      <c r="I20" s="20"/>
      <c r="J20" s="20"/>
      <c r="K20" s="20"/>
      <c r="L20" s="21"/>
      <c r="M20" s="81"/>
      <c r="N20" s="20">
        <v>17</v>
      </c>
      <c r="O20" s="147">
        <v>45209</v>
      </c>
      <c r="P20" s="20" t="s">
        <v>44</v>
      </c>
      <c r="Q20" s="20">
        <v>24948</v>
      </c>
      <c r="R20" s="20" t="s">
        <v>84</v>
      </c>
      <c r="S20" s="20" t="s">
        <v>85</v>
      </c>
      <c r="T20" s="20">
        <v>51</v>
      </c>
      <c r="U20" s="20" t="s">
        <v>113</v>
      </c>
      <c r="V20" s="149">
        <f t="shared" si="4"/>
        <v>1.5299999999999999E-2</v>
      </c>
      <c r="W20" s="20"/>
      <c r="X20" s="20">
        <f>[3]REFERENCE!$E$37</f>
        <v>0.59279999999999999</v>
      </c>
      <c r="Y20" s="21">
        <f t="shared" si="5"/>
        <v>3.0232800000000001E-2</v>
      </c>
      <c r="Z20" s="81"/>
      <c r="AB20" s="29">
        <v>17</v>
      </c>
      <c r="AC20" s="159">
        <v>45351</v>
      </c>
      <c r="AD20" s="20" t="s">
        <v>92</v>
      </c>
      <c r="AE20" s="152">
        <v>11340</v>
      </c>
      <c r="AF20" s="20" t="s">
        <v>32</v>
      </c>
      <c r="AG20" s="152" t="s">
        <v>34</v>
      </c>
      <c r="AH20" s="20">
        <v>702</v>
      </c>
      <c r="AI20" s="20"/>
      <c r="AJ20" s="34">
        <f>[3]REFERENCE!$E$38</f>
        <v>9.9600000000000001E-3</v>
      </c>
      <c r="AK20" s="21">
        <f t="shared" si="1"/>
        <v>7.9288372799999993E-2</v>
      </c>
      <c r="AM20" s="16">
        <v>17</v>
      </c>
      <c r="AN20" s="159">
        <v>45209</v>
      </c>
      <c r="AO20" s="20" t="s">
        <v>44</v>
      </c>
      <c r="AP20" s="157">
        <v>24948</v>
      </c>
      <c r="AQ20" s="20" t="s">
        <v>34</v>
      </c>
      <c r="AR20" s="152" t="s">
        <v>97</v>
      </c>
      <c r="AS20" s="20" t="s">
        <v>114</v>
      </c>
      <c r="AT20" s="51">
        <v>9036</v>
      </c>
      <c r="AU20" s="36">
        <v>16734.672000000002</v>
      </c>
      <c r="AV20" s="35">
        <f>[3]REFERENCE!$E$39</f>
        <v>8.3999999999999995E-3</v>
      </c>
      <c r="AW20" s="37">
        <f t="shared" si="2"/>
        <v>3.5069714152704003</v>
      </c>
      <c r="AY20" s="16"/>
      <c r="AZ20" s="43"/>
      <c r="BA20" s="20"/>
      <c r="BB20" s="44"/>
      <c r="BC20" s="20"/>
      <c r="BD20" s="20"/>
      <c r="BE20" s="35"/>
      <c r="BF20" s="20"/>
      <c r="BG20" s="41"/>
    </row>
    <row r="21" spans="1:59" ht="16" x14ac:dyDescent="0.4">
      <c r="A21" s="16">
        <v>18</v>
      </c>
      <c r="B21" s="45"/>
      <c r="C21" s="44"/>
      <c r="D21" s="19"/>
      <c r="E21" s="20"/>
      <c r="F21" s="20"/>
      <c r="G21" s="20"/>
      <c r="H21" s="20"/>
      <c r="I21" s="20"/>
      <c r="J21" s="20"/>
      <c r="K21" s="20"/>
      <c r="L21" s="21"/>
      <c r="M21" s="81"/>
      <c r="N21" s="20">
        <v>18</v>
      </c>
      <c r="O21" s="147">
        <v>45211</v>
      </c>
      <c r="P21" s="20" t="s">
        <v>49</v>
      </c>
      <c r="Q21" s="20">
        <v>1600</v>
      </c>
      <c r="R21" s="20" t="s">
        <v>84</v>
      </c>
      <c r="S21" s="20" t="s">
        <v>89</v>
      </c>
      <c r="T21" s="20">
        <v>269</v>
      </c>
      <c r="U21" s="20" t="s">
        <v>113</v>
      </c>
      <c r="V21" s="149">
        <f t="shared" si="4"/>
        <v>8.0699999999999994E-2</v>
      </c>
      <c r="W21" s="20"/>
      <c r="X21" s="20">
        <f>[3]REFERENCE!$E$37</f>
        <v>0.59279999999999999</v>
      </c>
      <c r="Y21" s="21">
        <f t="shared" si="5"/>
        <v>0.1594632</v>
      </c>
      <c r="Z21" s="81"/>
      <c r="AB21" s="29">
        <v>18</v>
      </c>
      <c r="AC21" s="159">
        <v>45351</v>
      </c>
      <c r="AD21" s="20" t="s">
        <v>92</v>
      </c>
      <c r="AE21" s="152">
        <v>11340</v>
      </c>
      <c r="AF21" s="20" t="s">
        <v>32</v>
      </c>
      <c r="AG21" s="152" t="s">
        <v>34</v>
      </c>
      <c r="AH21" s="20">
        <v>702</v>
      </c>
      <c r="AI21" s="20"/>
      <c r="AJ21" s="34">
        <f>[3]REFERENCE!$E$38</f>
        <v>9.9600000000000001E-3</v>
      </c>
      <c r="AK21" s="21">
        <f t="shared" si="1"/>
        <v>7.9288372799999993E-2</v>
      </c>
      <c r="AM21" s="16">
        <v>18</v>
      </c>
      <c r="AN21" s="159">
        <v>45211</v>
      </c>
      <c r="AO21" s="20" t="s">
        <v>49</v>
      </c>
      <c r="AP21" s="157">
        <v>1600</v>
      </c>
      <c r="AQ21" s="20" t="s">
        <v>71</v>
      </c>
      <c r="AR21" s="152" t="s">
        <v>40</v>
      </c>
      <c r="AS21" s="20" t="s">
        <v>114</v>
      </c>
      <c r="AT21" s="49">
        <v>3447</v>
      </c>
      <c r="AU21" s="36">
        <v>6383.84</v>
      </c>
      <c r="AV21" s="35">
        <f>[3]REFERENCE!$E$39</f>
        <v>8.3999999999999995E-3</v>
      </c>
      <c r="AW21" s="37">
        <f t="shared" si="2"/>
        <v>8.5798809599999998E-2</v>
      </c>
      <c r="AY21" s="16"/>
      <c r="AZ21" s="43"/>
      <c r="BA21" s="20"/>
      <c r="BB21" s="44"/>
      <c r="BC21" s="20"/>
      <c r="BD21" s="20"/>
      <c r="BE21" s="35"/>
      <c r="BF21" s="20"/>
      <c r="BG21" s="41"/>
    </row>
    <row r="22" spans="1:59" ht="16" x14ac:dyDescent="0.4">
      <c r="A22" s="16">
        <v>19</v>
      </c>
      <c r="B22" s="45"/>
      <c r="C22" s="44"/>
      <c r="D22" s="19"/>
      <c r="E22" s="20"/>
      <c r="F22" s="20"/>
      <c r="G22" s="20"/>
      <c r="H22" s="20"/>
      <c r="I22" s="20"/>
      <c r="J22" s="20"/>
      <c r="K22" s="20"/>
      <c r="L22" s="21"/>
      <c r="M22" s="81"/>
      <c r="N22" s="20">
        <v>19</v>
      </c>
      <c r="O22" s="147">
        <v>45213</v>
      </c>
      <c r="P22" s="20" t="s">
        <v>49</v>
      </c>
      <c r="Q22" s="20">
        <v>25000</v>
      </c>
      <c r="R22" s="20" t="s">
        <v>84</v>
      </c>
      <c r="S22" s="20" t="s">
        <v>89</v>
      </c>
      <c r="T22" s="20">
        <v>269</v>
      </c>
      <c r="U22" s="20" t="s">
        <v>113</v>
      </c>
      <c r="V22" s="149">
        <f t="shared" si="4"/>
        <v>8.0699999999999994E-2</v>
      </c>
      <c r="W22" s="20"/>
      <c r="X22" s="20">
        <f>[3]REFERENCE!$E$37</f>
        <v>0.59279999999999999</v>
      </c>
      <c r="Y22" s="21">
        <f t="shared" si="5"/>
        <v>0.1594632</v>
      </c>
      <c r="Z22" s="81"/>
      <c r="AB22" s="29">
        <v>19</v>
      </c>
      <c r="AC22" s="159">
        <v>45353</v>
      </c>
      <c r="AD22" s="20" t="s">
        <v>47</v>
      </c>
      <c r="AE22" s="152">
        <v>24947.999999999996</v>
      </c>
      <c r="AF22" s="20" t="s">
        <v>32</v>
      </c>
      <c r="AG22" s="152" t="s">
        <v>34</v>
      </c>
      <c r="AH22" s="20">
        <v>702</v>
      </c>
      <c r="AI22" s="20"/>
      <c r="AJ22" s="34">
        <f>[3]REFERENCE!$E$38</f>
        <v>9.9600000000000001E-3</v>
      </c>
      <c r="AK22" s="21">
        <f t="shared" si="1"/>
        <v>0.17443442015999996</v>
      </c>
      <c r="AM22" s="16">
        <v>19</v>
      </c>
      <c r="AN22" s="159">
        <v>45213</v>
      </c>
      <c r="AO22" s="20" t="s">
        <v>49</v>
      </c>
      <c r="AP22" s="157">
        <v>25000</v>
      </c>
      <c r="AQ22" s="20" t="s">
        <v>71</v>
      </c>
      <c r="AR22" s="152" t="s">
        <v>40</v>
      </c>
      <c r="AS22" s="20" t="s">
        <v>114</v>
      </c>
      <c r="AT22" s="49">
        <v>3447</v>
      </c>
      <c r="AU22" s="36">
        <v>6383.84</v>
      </c>
      <c r="AV22" s="35">
        <f>[3]REFERENCE!$E$39</f>
        <v>8.3999999999999995E-3</v>
      </c>
      <c r="AW22" s="37">
        <f t="shared" si="2"/>
        <v>1.3406064</v>
      </c>
      <c r="AY22" s="16"/>
      <c r="AZ22" s="43"/>
      <c r="BA22" s="20"/>
      <c r="BB22" s="44"/>
      <c r="BC22" s="20"/>
      <c r="BD22" s="20"/>
      <c r="BE22" s="35"/>
      <c r="BF22" s="20"/>
      <c r="BG22" s="41"/>
    </row>
    <row r="23" spans="1:59" ht="16" x14ac:dyDescent="0.4">
      <c r="A23" s="16">
        <v>20</v>
      </c>
      <c r="B23" s="45"/>
      <c r="C23" s="44"/>
      <c r="D23" s="19"/>
      <c r="E23" s="20"/>
      <c r="F23" s="54"/>
      <c r="G23" s="20"/>
      <c r="H23" s="20"/>
      <c r="I23" s="20"/>
      <c r="J23" s="54"/>
      <c r="K23" s="20"/>
      <c r="L23" s="21"/>
      <c r="M23" s="81"/>
      <c r="N23" s="20">
        <v>20</v>
      </c>
      <c r="O23" s="147">
        <v>45218</v>
      </c>
      <c r="P23" s="20" t="s">
        <v>49</v>
      </c>
      <c r="Q23" s="20">
        <v>25000</v>
      </c>
      <c r="R23" s="20" t="s">
        <v>84</v>
      </c>
      <c r="S23" s="20" t="s">
        <v>89</v>
      </c>
      <c r="T23" s="20">
        <v>269</v>
      </c>
      <c r="U23" s="20" t="s">
        <v>113</v>
      </c>
      <c r="V23" s="149">
        <f t="shared" si="4"/>
        <v>8.0699999999999994E-2</v>
      </c>
      <c r="W23" s="20"/>
      <c r="X23" s="20">
        <f>[3]REFERENCE!$E$37</f>
        <v>0.59279999999999999</v>
      </c>
      <c r="Y23" s="21">
        <f t="shared" si="5"/>
        <v>0.1594632</v>
      </c>
      <c r="Z23" s="81"/>
      <c r="AB23" s="29">
        <v>20</v>
      </c>
      <c r="AC23" s="159">
        <v>45372</v>
      </c>
      <c r="AD23" s="20" t="s">
        <v>46</v>
      </c>
      <c r="AE23" s="152">
        <v>24948</v>
      </c>
      <c r="AF23" s="20" t="s">
        <v>32</v>
      </c>
      <c r="AG23" s="152" t="s">
        <v>34</v>
      </c>
      <c r="AH23" s="20">
        <v>702</v>
      </c>
      <c r="AI23" s="20"/>
      <c r="AJ23" s="34">
        <f>[3]REFERENCE!$E$38</f>
        <v>9.9600000000000001E-3</v>
      </c>
      <c r="AK23" s="21">
        <f t="shared" si="1"/>
        <v>0.17443442016000002</v>
      </c>
      <c r="AM23" s="16">
        <v>20</v>
      </c>
      <c r="AN23" s="159">
        <v>45218</v>
      </c>
      <c r="AO23" s="20" t="s">
        <v>49</v>
      </c>
      <c r="AP23" s="157">
        <v>25000</v>
      </c>
      <c r="AQ23" s="20" t="s">
        <v>71</v>
      </c>
      <c r="AR23" s="152" t="s">
        <v>40</v>
      </c>
      <c r="AS23" s="20" t="s">
        <v>114</v>
      </c>
      <c r="AT23" s="49">
        <v>3447</v>
      </c>
      <c r="AU23" s="36">
        <v>6383.84</v>
      </c>
      <c r="AV23" s="35">
        <f>[3]REFERENCE!$E$39</f>
        <v>8.3999999999999995E-3</v>
      </c>
      <c r="AW23" s="37">
        <f t="shared" si="2"/>
        <v>1.3406064</v>
      </c>
      <c r="AY23" s="16"/>
      <c r="AZ23" s="43"/>
      <c r="BA23" s="20"/>
      <c r="BB23" s="44"/>
      <c r="BC23" s="20"/>
      <c r="BD23" s="20"/>
      <c r="BE23" s="35"/>
      <c r="BF23" s="20"/>
      <c r="BG23" s="41"/>
    </row>
    <row r="24" spans="1:59" ht="16" x14ac:dyDescent="0.4">
      <c r="A24" s="16">
        <v>21</v>
      </c>
      <c r="B24" s="45"/>
      <c r="C24" s="44"/>
      <c r="D24" s="19"/>
      <c r="E24" s="20"/>
      <c r="F24" s="20"/>
      <c r="G24" s="20"/>
      <c r="H24" s="20"/>
      <c r="I24" s="20"/>
      <c r="J24" s="20"/>
      <c r="K24" s="20"/>
      <c r="L24" s="21"/>
      <c r="M24" s="81"/>
      <c r="N24" s="20">
        <v>21</v>
      </c>
      <c r="O24" s="147">
        <v>45219</v>
      </c>
      <c r="P24" s="20" t="s">
        <v>47</v>
      </c>
      <c r="Q24" s="20">
        <v>24946.968749999996</v>
      </c>
      <c r="R24" s="20" t="s">
        <v>84</v>
      </c>
      <c r="S24" s="20" t="s">
        <v>85</v>
      </c>
      <c r="T24" s="20">
        <v>51</v>
      </c>
      <c r="U24" s="20" t="s">
        <v>113</v>
      </c>
      <c r="V24" s="149">
        <f t="shared" si="4"/>
        <v>1.5299999999999999E-2</v>
      </c>
      <c r="W24" s="20"/>
      <c r="X24" s="20">
        <f>[3]REFERENCE!$E$37</f>
        <v>0.59279999999999999</v>
      </c>
      <c r="Y24" s="21">
        <f t="shared" si="5"/>
        <v>3.0232800000000001E-2</v>
      </c>
      <c r="Z24" s="81"/>
      <c r="AB24" s="29">
        <v>21</v>
      </c>
      <c r="AC24" s="159">
        <v>45382</v>
      </c>
      <c r="AD24" s="20" t="s">
        <v>47</v>
      </c>
      <c r="AE24" s="152">
        <v>24946.9</v>
      </c>
      <c r="AF24" s="20" t="s">
        <v>32</v>
      </c>
      <c r="AG24" s="152" t="s">
        <v>34</v>
      </c>
      <c r="AH24" s="20">
        <v>702</v>
      </c>
      <c r="AI24" s="20"/>
      <c r="AJ24" s="34">
        <f>[3]REFERENCE!$E$38</f>
        <v>9.9600000000000001E-3</v>
      </c>
      <c r="AK24" s="21">
        <f t="shared" si="1"/>
        <v>0.174426729048</v>
      </c>
      <c r="AM24" s="16">
        <v>21</v>
      </c>
      <c r="AN24" s="159">
        <v>45219</v>
      </c>
      <c r="AO24" s="20" t="s">
        <v>47</v>
      </c>
      <c r="AP24" s="157">
        <v>24946.968749999996</v>
      </c>
      <c r="AQ24" s="20" t="s">
        <v>34</v>
      </c>
      <c r="AR24" s="152" t="s">
        <v>97</v>
      </c>
      <c r="AS24" s="20" t="s">
        <v>114</v>
      </c>
      <c r="AT24" s="51">
        <v>9036</v>
      </c>
      <c r="AU24" s="36">
        <v>16734.672000000002</v>
      </c>
      <c r="AV24" s="35">
        <f>[3]REFERENCE!$E$39</f>
        <v>8.3999999999999995E-3</v>
      </c>
      <c r="AW24" s="37">
        <f t="shared" si="2"/>
        <v>3.5068264511741996</v>
      </c>
      <c r="AY24" s="16"/>
      <c r="AZ24" s="43"/>
      <c r="BA24" s="20"/>
      <c r="BB24" s="44"/>
      <c r="BC24" s="20"/>
      <c r="BD24" s="20"/>
      <c r="BE24" s="35"/>
      <c r="BF24" s="20"/>
      <c r="BG24" s="41"/>
    </row>
    <row r="25" spans="1:59" ht="16" x14ac:dyDescent="0.4">
      <c r="A25" s="16">
        <v>22</v>
      </c>
      <c r="B25" s="45"/>
      <c r="C25" s="44"/>
      <c r="D25" s="19"/>
      <c r="E25" s="20"/>
      <c r="F25" s="20"/>
      <c r="G25" s="20"/>
      <c r="H25" s="20"/>
      <c r="I25" s="20"/>
      <c r="J25" s="20"/>
      <c r="K25" s="20"/>
      <c r="L25" s="21"/>
      <c r="M25" s="81"/>
      <c r="N25" s="20">
        <v>22</v>
      </c>
      <c r="O25" s="147">
        <v>45219</v>
      </c>
      <c r="P25" s="20" t="s">
        <v>44</v>
      </c>
      <c r="Q25" s="20">
        <v>24948</v>
      </c>
      <c r="R25" s="20" t="s">
        <v>84</v>
      </c>
      <c r="S25" s="20" t="s">
        <v>85</v>
      </c>
      <c r="T25" s="20">
        <v>51</v>
      </c>
      <c r="U25" s="20" t="s">
        <v>113</v>
      </c>
      <c r="V25" s="149">
        <f t="shared" si="4"/>
        <v>1.5299999999999999E-2</v>
      </c>
      <c r="W25" s="20"/>
      <c r="X25" s="20">
        <f>[3]REFERENCE!$E$37</f>
        <v>0.59279999999999999</v>
      </c>
      <c r="Y25" s="21">
        <f t="shared" si="5"/>
        <v>3.0232800000000001E-2</v>
      </c>
      <c r="Z25" s="81"/>
      <c r="AB25" s="29">
        <v>22</v>
      </c>
      <c r="AC25" s="159">
        <v>45382</v>
      </c>
      <c r="AD25" s="20" t="s">
        <v>46</v>
      </c>
      <c r="AE25" s="152">
        <v>11340</v>
      </c>
      <c r="AF25" s="20" t="s">
        <v>32</v>
      </c>
      <c r="AG25" s="152" t="s">
        <v>34</v>
      </c>
      <c r="AH25" s="20">
        <v>702</v>
      </c>
      <c r="AI25" s="20"/>
      <c r="AJ25" s="34">
        <f>[3]REFERENCE!$E$38</f>
        <v>9.9600000000000001E-3</v>
      </c>
      <c r="AK25" s="21">
        <f t="shared" si="1"/>
        <v>7.9288372799999993E-2</v>
      </c>
      <c r="AM25" s="16">
        <v>22</v>
      </c>
      <c r="AN25" s="159">
        <v>45219</v>
      </c>
      <c r="AO25" s="20" t="s">
        <v>44</v>
      </c>
      <c r="AP25" s="157">
        <v>24948</v>
      </c>
      <c r="AQ25" s="20" t="s">
        <v>34</v>
      </c>
      <c r="AR25" s="152" t="s">
        <v>97</v>
      </c>
      <c r="AS25" s="20" t="s">
        <v>114</v>
      </c>
      <c r="AT25" s="51">
        <v>9036</v>
      </c>
      <c r="AU25" s="36">
        <v>16734.672000000002</v>
      </c>
      <c r="AV25" s="35">
        <f>[3]REFERENCE!$E$39</f>
        <v>8.3999999999999995E-3</v>
      </c>
      <c r="AW25" s="37">
        <f t="shared" si="2"/>
        <v>3.5069714152704003</v>
      </c>
      <c r="AY25" s="16"/>
      <c r="AZ25" s="43"/>
      <c r="BA25" s="20"/>
      <c r="BB25" s="44"/>
      <c r="BC25" s="20"/>
      <c r="BD25" s="20"/>
      <c r="BE25" s="35"/>
      <c r="BF25" s="20"/>
      <c r="BG25" s="41"/>
    </row>
    <row r="26" spans="1:59" ht="16" x14ac:dyDescent="0.4">
      <c r="A26" s="16">
        <v>23</v>
      </c>
      <c r="B26" s="45"/>
      <c r="C26" s="44"/>
      <c r="D26" s="19"/>
      <c r="E26" s="20"/>
      <c r="F26" s="20"/>
      <c r="G26" s="20"/>
      <c r="H26" s="20"/>
      <c r="I26" s="20"/>
      <c r="J26" s="20"/>
      <c r="K26" s="20"/>
      <c r="L26" s="21"/>
      <c r="M26" s="81"/>
      <c r="N26" s="20">
        <v>23</v>
      </c>
      <c r="O26" s="147">
        <v>45230</v>
      </c>
      <c r="P26" s="20" t="s">
        <v>93</v>
      </c>
      <c r="Q26" s="20">
        <v>10000</v>
      </c>
      <c r="R26" s="20" t="s">
        <v>84</v>
      </c>
      <c r="S26" s="20" t="s">
        <v>85</v>
      </c>
      <c r="T26" s="20">
        <v>51</v>
      </c>
      <c r="U26" s="20" t="s">
        <v>113</v>
      </c>
      <c r="V26" s="149">
        <f t="shared" si="4"/>
        <v>1.5299999999999999E-2</v>
      </c>
      <c r="W26" s="20"/>
      <c r="X26" s="20">
        <f>[3]REFERENCE!$E$37</f>
        <v>0.59279999999999999</v>
      </c>
      <c r="Y26" s="21">
        <f t="shared" si="5"/>
        <v>3.0232800000000001E-2</v>
      </c>
      <c r="Z26" s="81"/>
      <c r="AB26" s="29">
        <v>23</v>
      </c>
      <c r="AC26" s="159">
        <v>45382</v>
      </c>
      <c r="AD26" s="20" t="s">
        <v>99</v>
      </c>
      <c r="AE26" s="152">
        <v>12746.16</v>
      </c>
      <c r="AF26" s="20" t="s">
        <v>32</v>
      </c>
      <c r="AG26" s="152" t="s">
        <v>34</v>
      </c>
      <c r="AH26" s="20">
        <v>702</v>
      </c>
      <c r="AI26" s="20"/>
      <c r="AJ26" s="34">
        <f>[3]REFERENCE!$E$38</f>
        <v>9.9600000000000001E-3</v>
      </c>
      <c r="AK26" s="21">
        <f t="shared" si="1"/>
        <v>8.9120131027199997E-2</v>
      </c>
      <c r="AM26" s="16">
        <v>23</v>
      </c>
      <c r="AN26" s="159">
        <v>45230</v>
      </c>
      <c r="AO26" s="20" t="s">
        <v>93</v>
      </c>
      <c r="AP26" s="157">
        <v>10000</v>
      </c>
      <c r="AQ26" s="20" t="s">
        <v>34</v>
      </c>
      <c r="AR26" s="152" t="s">
        <v>86</v>
      </c>
      <c r="AS26" s="20" t="s">
        <v>115</v>
      </c>
      <c r="AT26" s="35">
        <v>7082</v>
      </c>
      <c r="AU26" s="36">
        <v>13115.86</v>
      </c>
      <c r="AV26" s="35">
        <f>[3]REFERENCE!$E$39</f>
        <v>8.3999999999999995E-3</v>
      </c>
      <c r="AW26" s="37">
        <f t="shared" si="2"/>
        <v>1.10173224</v>
      </c>
      <c r="AY26" s="16"/>
      <c r="AZ26" s="43"/>
      <c r="BA26" s="20"/>
      <c r="BB26" s="44"/>
      <c r="BC26" s="20"/>
      <c r="BD26" s="20"/>
      <c r="BE26" s="35"/>
      <c r="BF26" s="20"/>
      <c r="BG26" s="41"/>
    </row>
    <row r="27" spans="1:59" ht="16" x14ac:dyDescent="0.4">
      <c r="A27" s="16">
        <v>24</v>
      </c>
      <c r="B27" s="55"/>
      <c r="C27" s="44"/>
      <c r="D27" s="19"/>
      <c r="E27" s="20"/>
      <c r="F27" s="20"/>
      <c r="G27" s="20"/>
      <c r="H27" s="20"/>
      <c r="I27" s="20"/>
      <c r="J27" s="20"/>
      <c r="K27" s="20"/>
      <c r="L27" s="21"/>
      <c r="M27" s="81"/>
      <c r="N27" s="20">
        <v>24</v>
      </c>
      <c r="O27" s="147">
        <v>45233</v>
      </c>
      <c r="P27" s="20" t="s">
        <v>46</v>
      </c>
      <c r="Q27" s="20">
        <v>24948</v>
      </c>
      <c r="R27" s="20" t="s">
        <v>84</v>
      </c>
      <c r="S27" s="20" t="s">
        <v>85</v>
      </c>
      <c r="T27" s="20">
        <v>51</v>
      </c>
      <c r="U27" s="20" t="s">
        <v>113</v>
      </c>
      <c r="V27" s="149">
        <f t="shared" si="4"/>
        <v>1.5299999999999999E-2</v>
      </c>
      <c r="W27" s="20"/>
      <c r="X27" s="20">
        <f>[3]REFERENCE!$E$37</f>
        <v>0.59279999999999999</v>
      </c>
      <c r="Y27" s="21">
        <f t="shared" si="5"/>
        <v>3.0232800000000001E-2</v>
      </c>
      <c r="Z27" s="81"/>
      <c r="AB27" s="29">
        <v>24</v>
      </c>
      <c r="AC27" s="159">
        <v>45398</v>
      </c>
      <c r="AD27" s="20" t="s">
        <v>100</v>
      </c>
      <c r="AE27" s="152">
        <v>2500</v>
      </c>
      <c r="AF27" s="20" t="s">
        <v>32</v>
      </c>
      <c r="AG27" s="152" t="s">
        <v>34</v>
      </c>
      <c r="AH27" s="20">
        <v>702</v>
      </c>
      <c r="AI27" s="20"/>
      <c r="AJ27" s="34">
        <f>[3]REFERENCE!$E$38</f>
        <v>9.9600000000000001E-3</v>
      </c>
      <c r="AK27" s="21">
        <f t="shared" si="1"/>
        <v>1.74798E-2</v>
      </c>
      <c r="AM27" s="16">
        <v>24</v>
      </c>
      <c r="AN27" s="159">
        <v>45233</v>
      </c>
      <c r="AO27" s="20" t="s">
        <v>46</v>
      </c>
      <c r="AP27" s="157">
        <v>24948</v>
      </c>
      <c r="AQ27" s="20" t="s">
        <v>34</v>
      </c>
      <c r="AR27" s="152" t="s">
        <v>97</v>
      </c>
      <c r="AS27" s="20" t="s">
        <v>114</v>
      </c>
      <c r="AT27" s="51">
        <v>9036</v>
      </c>
      <c r="AU27" s="36">
        <v>16734.672000000002</v>
      </c>
      <c r="AV27" s="35">
        <f>[3]REFERENCE!$E$39</f>
        <v>8.3999999999999995E-3</v>
      </c>
      <c r="AW27" s="37">
        <f t="shared" si="2"/>
        <v>3.5069714152704003</v>
      </c>
      <c r="AY27" s="16"/>
      <c r="AZ27" s="43"/>
      <c r="BA27" s="20"/>
      <c r="BB27" s="44"/>
      <c r="BC27" s="20"/>
      <c r="BD27" s="20"/>
      <c r="BE27" s="35"/>
      <c r="BF27" s="20"/>
      <c r="BG27" s="41"/>
    </row>
    <row r="28" spans="1:59" ht="16" x14ac:dyDescent="0.4">
      <c r="A28" s="16">
        <v>25</v>
      </c>
      <c r="B28" s="45"/>
      <c r="C28" s="52"/>
      <c r="D28" s="19"/>
      <c r="E28" s="20"/>
      <c r="F28" s="20"/>
      <c r="G28" s="20"/>
      <c r="H28" s="20"/>
      <c r="I28" s="20"/>
      <c r="J28" s="53"/>
      <c r="K28" s="20"/>
      <c r="L28" s="21"/>
      <c r="M28" s="81"/>
      <c r="N28" s="20">
        <v>25</v>
      </c>
      <c r="O28" s="147">
        <v>45244</v>
      </c>
      <c r="P28" s="20" t="s">
        <v>49</v>
      </c>
      <c r="Q28" s="20">
        <v>25000</v>
      </c>
      <c r="R28" s="20" t="s">
        <v>84</v>
      </c>
      <c r="S28" s="20" t="s">
        <v>89</v>
      </c>
      <c r="T28" s="20">
        <v>269</v>
      </c>
      <c r="U28" s="20" t="s">
        <v>113</v>
      </c>
      <c r="V28" s="149">
        <f t="shared" si="4"/>
        <v>8.0699999999999994E-2</v>
      </c>
      <c r="W28" s="20"/>
      <c r="X28" s="20">
        <f>[3]REFERENCE!$E$37</f>
        <v>0.59279999999999999</v>
      </c>
      <c r="Y28" s="21">
        <f t="shared" si="5"/>
        <v>0.1594632</v>
      </c>
      <c r="Z28" s="81"/>
      <c r="AB28" s="29">
        <v>25</v>
      </c>
      <c r="AC28" s="159">
        <v>45407</v>
      </c>
      <c r="AD28" s="20" t="s">
        <v>44</v>
      </c>
      <c r="AE28" s="152">
        <v>24948</v>
      </c>
      <c r="AF28" s="20" t="s">
        <v>32</v>
      </c>
      <c r="AG28" s="152" t="s">
        <v>34</v>
      </c>
      <c r="AH28" s="20">
        <v>702</v>
      </c>
      <c r="AI28" s="20"/>
      <c r="AJ28" s="34">
        <f>[3]REFERENCE!$E$38</f>
        <v>9.9600000000000001E-3</v>
      </c>
      <c r="AK28" s="21">
        <f t="shared" si="1"/>
        <v>0.17443442016000002</v>
      </c>
      <c r="AM28" s="16">
        <v>25</v>
      </c>
      <c r="AN28" s="159">
        <v>45244</v>
      </c>
      <c r="AO28" s="20" t="s">
        <v>49</v>
      </c>
      <c r="AP28" s="157">
        <v>25000</v>
      </c>
      <c r="AQ28" s="20" t="s">
        <v>71</v>
      </c>
      <c r="AR28" s="152" t="s">
        <v>40</v>
      </c>
      <c r="AS28" s="20" t="s">
        <v>114</v>
      </c>
      <c r="AT28" s="49">
        <v>3447</v>
      </c>
      <c r="AU28" s="36">
        <v>6383.84</v>
      </c>
      <c r="AV28" s="35">
        <f>[3]REFERENCE!$E$39</f>
        <v>8.3999999999999995E-3</v>
      </c>
      <c r="AW28" s="37">
        <f t="shared" si="2"/>
        <v>1.3406064</v>
      </c>
      <c r="AY28" s="16"/>
      <c r="AZ28" s="43"/>
      <c r="BA28" s="20"/>
      <c r="BB28" s="44"/>
      <c r="BC28" s="20"/>
      <c r="BD28" s="20"/>
      <c r="BE28" s="35"/>
      <c r="BF28" s="20"/>
      <c r="BG28" s="41"/>
    </row>
    <row r="29" spans="1:59" ht="16" x14ac:dyDescent="0.4">
      <c r="A29" s="16">
        <v>26</v>
      </c>
      <c r="B29" s="45"/>
      <c r="C29" s="44"/>
      <c r="D29" s="19"/>
      <c r="E29" s="20"/>
      <c r="F29" s="20"/>
      <c r="G29" s="20"/>
      <c r="H29" s="20"/>
      <c r="I29" s="20"/>
      <c r="J29" s="20"/>
      <c r="K29" s="20"/>
      <c r="L29" s="21"/>
      <c r="M29" s="81"/>
      <c r="N29" s="20">
        <v>26</v>
      </c>
      <c r="O29" s="147">
        <v>45244</v>
      </c>
      <c r="P29" s="20" t="s">
        <v>54</v>
      </c>
      <c r="Q29" s="20">
        <v>400</v>
      </c>
      <c r="R29" s="20" t="s">
        <v>84</v>
      </c>
      <c r="S29" s="20" t="s">
        <v>89</v>
      </c>
      <c r="T29" s="20">
        <v>269</v>
      </c>
      <c r="U29" s="20" t="s">
        <v>113</v>
      </c>
      <c r="V29" s="149">
        <f t="shared" si="4"/>
        <v>8.0699999999999994E-2</v>
      </c>
      <c r="W29" s="20"/>
      <c r="X29" s="20">
        <f>[3]REFERENCE!$E$37</f>
        <v>0.59279999999999999</v>
      </c>
      <c r="Y29" s="21">
        <f t="shared" si="5"/>
        <v>0.1594632</v>
      </c>
      <c r="Z29" s="81"/>
      <c r="AB29" s="29">
        <v>26</v>
      </c>
      <c r="AC29" s="159">
        <v>45409</v>
      </c>
      <c r="AD29" s="20" t="s">
        <v>92</v>
      </c>
      <c r="AE29" s="152">
        <v>24948</v>
      </c>
      <c r="AF29" s="20" t="s">
        <v>32</v>
      </c>
      <c r="AG29" s="152" t="s">
        <v>34</v>
      </c>
      <c r="AH29" s="20">
        <v>702</v>
      </c>
      <c r="AI29" s="20"/>
      <c r="AJ29" s="34">
        <f>[3]REFERENCE!$E$38</f>
        <v>9.9600000000000001E-3</v>
      </c>
      <c r="AK29" s="21">
        <f t="shared" si="1"/>
        <v>0.17443442016000002</v>
      </c>
      <c r="AM29" s="16">
        <v>26</v>
      </c>
      <c r="AN29" s="159">
        <v>45244</v>
      </c>
      <c r="AO29" s="20" t="s">
        <v>54</v>
      </c>
      <c r="AP29" s="157">
        <v>400</v>
      </c>
      <c r="AQ29" s="20" t="s">
        <v>71</v>
      </c>
      <c r="AR29" s="152" t="s">
        <v>40</v>
      </c>
      <c r="AS29" s="20" t="s">
        <v>114</v>
      </c>
      <c r="AT29" s="49">
        <v>3447</v>
      </c>
      <c r="AU29" s="36">
        <v>6383.84</v>
      </c>
      <c r="AV29" s="35">
        <f>[3]REFERENCE!$E$39</f>
        <v>8.3999999999999995E-3</v>
      </c>
      <c r="AW29" s="37">
        <f t="shared" si="2"/>
        <v>2.1449702399999999E-2</v>
      </c>
      <c r="AY29" s="16"/>
      <c r="AZ29" s="43"/>
      <c r="BA29" s="20"/>
      <c r="BB29" s="44"/>
      <c r="BC29" s="20"/>
      <c r="BD29" s="20"/>
      <c r="BE29" s="35"/>
      <c r="BF29" s="20"/>
      <c r="BG29" s="41"/>
    </row>
    <row r="30" spans="1:59" ht="16" x14ac:dyDescent="0.4">
      <c r="A30" s="16">
        <v>27</v>
      </c>
      <c r="B30" s="45"/>
      <c r="C30" s="44"/>
      <c r="D30" s="19"/>
      <c r="E30" s="20"/>
      <c r="F30" s="20"/>
      <c r="G30" s="20"/>
      <c r="H30" s="20"/>
      <c r="I30" s="20"/>
      <c r="J30" s="20"/>
      <c r="K30" s="20"/>
      <c r="L30" s="21"/>
      <c r="M30" s="81"/>
      <c r="N30" s="20">
        <v>27</v>
      </c>
      <c r="O30" s="147">
        <v>45246</v>
      </c>
      <c r="P30" s="20" t="s">
        <v>96</v>
      </c>
      <c r="Q30" s="20">
        <v>625</v>
      </c>
      <c r="R30" s="20" t="s">
        <v>84</v>
      </c>
      <c r="S30" s="20" t="s">
        <v>85</v>
      </c>
      <c r="T30" s="20">
        <v>51</v>
      </c>
      <c r="U30" s="20" t="s">
        <v>113</v>
      </c>
      <c r="V30" s="149">
        <f t="shared" si="4"/>
        <v>1.5299999999999999E-2</v>
      </c>
      <c r="W30" s="20"/>
      <c r="X30" s="20">
        <f>[3]REFERENCE!$E$37</f>
        <v>0.59279999999999999</v>
      </c>
      <c r="Y30" s="21">
        <f t="shared" si="5"/>
        <v>3.0232800000000001E-2</v>
      </c>
      <c r="Z30" s="81"/>
      <c r="AB30" s="29">
        <v>27</v>
      </c>
      <c r="AC30" s="159">
        <v>45410</v>
      </c>
      <c r="AD30" s="20" t="s">
        <v>47</v>
      </c>
      <c r="AE30" s="152">
        <v>24947.174999999999</v>
      </c>
      <c r="AF30" s="20" t="s">
        <v>32</v>
      </c>
      <c r="AG30" s="152" t="s">
        <v>34</v>
      </c>
      <c r="AH30" s="20">
        <v>702</v>
      </c>
      <c r="AI30" s="20"/>
      <c r="AJ30" s="34">
        <f>[3]REFERENCE!$E$38</f>
        <v>9.9600000000000001E-3</v>
      </c>
      <c r="AK30" s="21">
        <f t="shared" si="1"/>
        <v>0.17442865182599998</v>
      </c>
      <c r="AM30" s="16">
        <v>27</v>
      </c>
      <c r="AN30" s="159">
        <v>45246</v>
      </c>
      <c r="AO30" s="20" t="s">
        <v>96</v>
      </c>
      <c r="AP30" s="157">
        <v>625</v>
      </c>
      <c r="AQ30" s="20" t="s">
        <v>34</v>
      </c>
      <c r="AR30" s="152" t="s">
        <v>101</v>
      </c>
      <c r="AS30" s="20" t="s">
        <v>114</v>
      </c>
      <c r="AT30" s="35">
        <v>5590</v>
      </c>
      <c r="AU30" s="36">
        <v>10353</v>
      </c>
      <c r="AV30" s="35">
        <f>[3]REFERENCE!$E$39</f>
        <v>8.3999999999999995E-3</v>
      </c>
      <c r="AW30" s="37">
        <f t="shared" si="2"/>
        <v>5.4353249999999999E-2</v>
      </c>
      <c r="AY30" s="16"/>
      <c r="AZ30" s="43"/>
      <c r="BA30" s="20"/>
      <c r="BB30" s="44"/>
      <c r="BC30" s="20"/>
      <c r="BD30" s="20"/>
      <c r="BE30" s="35"/>
      <c r="BF30" s="20"/>
      <c r="BG30" s="41"/>
    </row>
    <row r="31" spans="1:59" ht="16" x14ac:dyDescent="0.4">
      <c r="A31" s="16">
        <v>28</v>
      </c>
      <c r="B31" s="45"/>
      <c r="C31" s="44"/>
      <c r="D31" s="19"/>
      <c r="E31" s="20"/>
      <c r="F31" s="20"/>
      <c r="G31" s="20"/>
      <c r="H31" s="20"/>
      <c r="I31" s="20"/>
      <c r="J31" s="20"/>
      <c r="K31" s="20"/>
      <c r="L31" s="21"/>
      <c r="M31" s="81"/>
      <c r="N31" s="20">
        <v>28</v>
      </c>
      <c r="O31" s="147">
        <v>45251</v>
      </c>
      <c r="P31" s="20" t="s">
        <v>47</v>
      </c>
      <c r="Q31" s="20">
        <v>24946.968749999996</v>
      </c>
      <c r="R31" s="20" t="s">
        <v>84</v>
      </c>
      <c r="S31" s="20" t="s">
        <v>85</v>
      </c>
      <c r="T31" s="20">
        <v>51</v>
      </c>
      <c r="U31" s="20" t="s">
        <v>113</v>
      </c>
      <c r="V31" s="149">
        <f t="shared" si="4"/>
        <v>1.5299999999999999E-2</v>
      </c>
      <c r="W31" s="20"/>
      <c r="X31" s="20">
        <f>[3]REFERENCE!$E$37</f>
        <v>0.59279999999999999</v>
      </c>
      <c r="Y31" s="21">
        <f t="shared" si="5"/>
        <v>3.0232800000000001E-2</v>
      </c>
      <c r="Z31" s="81"/>
      <c r="AB31" s="29">
        <v>28</v>
      </c>
      <c r="AC31" s="159">
        <v>45413</v>
      </c>
      <c r="AD31" s="20" t="s">
        <v>46</v>
      </c>
      <c r="AE31" s="152">
        <v>24948</v>
      </c>
      <c r="AF31" s="20" t="s">
        <v>32</v>
      </c>
      <c r="AG31" s="152" t="s">
        <v>34</v>
      </c>
      <c r="AH31" s="20">
        <v>702</v>
      </c>
      <c r="AI31" s="20"/>
      <c r="AJ31" s="34">
        <f>[3]REFERENCE!$E$38</f>
        <v>9.9600000000000001E-3</v>
      </c>
      <c r="AK31" s="21">
        <f t="shared" si="1"/>
        <v>0.17443442016000002</v>
      </c>
      <c r="AM31" s="16">
        <v>28</v>
      </c>
      <c r="AN31" s="159">
        <v>45251</v>
      </c>
      <c r="AO31" s="20" t="s">
        <v>47</v>
      </c>
      <c r="AP31" s="157">
        <v>24946.968749999996</v>
      </c>
      <c r="AQ31" s="20" t="s">
        <v>34</v>
      </c>
      <c r="AR31" s="152" t="s">
        <v>97</v>
      </c>
      <c r="AS31" s="20" t="s">
        <v>114</v>
      </c>
      <c r="AT31" s="51">
        <v>9036</v>
      </c>
      <c r="AU31" s="36">
        <v>16734.672000000002</v>
      </c>
      <c r="AV31" s="35">
        <f>[3]REFERENCE!$E$39</f>
        <v>8.3999999999999995E-3</v>
      </c>
      <c r="AW31" s="37">
        <f t="shared" si="2"/>
        <v>3.5068264511741996</v>
      </c>
      <c r="AY31" s="16"/>
      <c r="AZ31" s="43"/>
      <c r="BA31" s="20"/>
      <c r="BB31" s="44"/>
      <c r="BC31" s="20"/>
      <c r="BD31" s="20"/>
      <c r="BE31" s="35"/>
      <c r="BF31" s="20"/>
      <c r="BG31" s="41"/>
    </row>
    <row r="32" spans="1:59" ht="16" x14ac:dyDescent="0.4">
      <c r="A32" s="16">
        <v>29</v>
      </c>
      <c r="B32" s="45"/>
      <c r="C32" s="44"/>
      <c r="D32" s="19"/>
      <c r="E32" s="20"/>
      <c r="F32" s="20"/>
      <c r="G32" s="20"/>
      <c r="H32" s="20"/>
      <c r="I32" s="20"/>
      <c r="J32" s="20"/>
      <c r="K32" s="20"/>
      <c r="L32" s="21"/>
      <c r="M32" s="81"/>
      <c r="N32" s="20">
        <v>29</v>
      </c>
      <c r="O32" s="147">
        <v>45259</v>
      </c>
      <c r="P32" s="20" t="s">
        <v>49</v>
      </c>
      <c r="Q32" s="20">
        <v>9000</v>
      </c>
      <c r="R32" s="20" t="s">
        <v>84</v>
      </c>
      <c r="S32" s="20" t="s">
        <v>89</v>
      </c>
      <c r="T32" s="20">
        <v>269</v>
      </c>
      <c r="U32" s="20" t="s">
        <v>113</v>
      </c>
      <c r="V32" s="149">
        <f t="shared" si="4"/>
        <v>8.0699999999999994E-2</v>
      </c>
      <c r="W32" s="20"/>
      <c r="X32" s="20">
        <f>[3]REFERENCE!$E$37</f>
        <v>0.59279999999999999</v>
      </c>
      <c r="Y32" s="21">
        <f t="shared" si="5"/>
        <v>0.1594632</v>
      </c>
      <c r="Z32" s="81"/>
      <c r="AB32" s="29">
        <v>29</v>
      </c>
      <c r="AC32" s="159">
        <v>45433</v>
      </c>
      <c r="AD32" s="20" t="s">
        <v>48</v>
      </c>
      <c r="AE32" s="152">
        <v>24946.9</v>
      </c>
      <c r="AF32" s="20" t="s">
        <v>32</v>
      </c>
      <c r="AG32" s="152" t="s">
        <v>34</v>
      </c>
      <c r="AH32" s="20">
        <v>702</v>
      </c>
      <c r="AI32" s="20"/>
      <c r="AJ32" s="34">
        <f>[3]REFERENCE!$E$38</f>
        <v>9.9600000000000001E-3</v>
      </c>
      <c r="AK32" s="21">
        <f t="shared" si="1"/>
        <v>0.174426729048</v>
      </c>
      <c r="AM32" s="16">
        <v>29</v>
      </c>
      <c r="AN32" s="159">
        <v>45259</v>
      </c>
      <c r="AO32" s="20" t="s">
        <v>49</v>
      </c>
      <c r="AP32" s="157">
        <v>9000</v>
      </c>
      <c r="AQ32" s="20" t="s">
        <v>71</v>
      </c>
      <c r="AR32" s="152" t="s">
        <v>40</v>
      </c>
      <c r="AS32" s="20" t="s">
        <v>114</v>
      </c>
      <c r="AT32" s="49">
        <v>3447</v>
      </c>
      <c r="AU32" s="36">
        <v>6383.84</v>
      </c>
      <c r="AV32" s="35">
        <f>[3]REFERENCE!$E$39</f>
        <v>8.3999999999999995E-3</v>
      </c>
      <c r="AW32" s="37">
        <f t="shared" si="2"/>
        <v>0.48261830399999994</v>
      </c>
      <c r="AY32" s="16"/>
      <c r="AZ32" s="43"/>
      <c r="BA32" s="20"/>
      <c r="BB32" s="44"/>
      <c r="BC32" s="20"/>
      <c r="BD32" s="20"/>
      <c r="BE32" s="35"/>
      <c r="BF32" s="20"/>
      <c r="BG32" s="41"/>
    </row>
    <row r="33" spans="1:59" ht="16" x14ac:dyDescent="0.4">
      <c r="A33" s="16">
        <v>30</v>
      </c>
      <c r="B33" s="45"/>
      <c r="C33" s="44"/>
      <c r="D33" s="19"/>
      <c r="E33" s="20"/>
      <c r="F33" s="20"/>
      <c r="G33" s="20"/>
      <c r="H33" s="20"/>
      <c r="I33" s="20"/>
      <c r="J33" s="20"/>
      <c r="K33" s="20"/>
      <c r="L33" s="21"/>
      <c r="M33" s="81"/>
      <c r="N33" s="20">
        <v>30</v>
      </c>
      <c r="O33" s="147">
        <v>45259</v>
      </c>
      <c r="P33" s="20" t="s">
        <v>54</v>
      </c>
      <c r="Q33" s="20">
        <v>400</v>
      </c>
      <c r="R33" s="20" t="s">
        <v>84</v>
      </c>
      <c r="S33" s="20" t="s">
        <v>89</v>
      </c>
      <c r="T33" s="20">
        <v>269</v>
      </c>
      <c r="U33" s="20" t="s">
        <v>113</v>
      </c>
      <c r="V33" s="149">
        <f t="shared" si="4"/>
        <v>8.0699999999999994E-2</v>
      </c>
      <c r="W33" s="20"/>
      <c r="X33" s="20">
        <f>[3]REFERENCE!$E$37</f>
        <v>0.59279999999999999</v>
      </c>
      <c r="Y33" s="21">
        <f t="shared" si="5"/>
        <v>0.1594632</v>
      </c>
      <c r="Z33" s="81"/>
      <c r="AB33" s="29">
        <v>30</v>
      </c>
      <c r="AC33" s="159">
        <v>45439</v>
      </c>
      <c r="AD33" s="20" t="s">
        <v>100</v>
      </c>
      <c r="AE33" s="152">
        <v>10000</v>
      </c>
      <c r="AF33" s="20" t="s">
        <v>32</v>
      </c>
      <c r="AG33" s="152" t="s">
        <v>34</v>
      </c>
      <c r="AH33" s="20">
        <v>702</v>
      </c>
      <c r="AI33" s="20"/>
      <c r="AJ33" s="34">
        <f>[3]REFERENCE!$E$38</f>
        <v>9.9600000000000001E-3</v>
      </c>
      <c r="AK33" s="21">
        <f t="shared" si="1"/>
        <v>6.9919200000000001E-2</v>
      </c>
      <c r="AM33" s="16">
        <v>30</v>
      </c>
      <c r="AN33" s="159">
        <v>45259</v>
      </c>
      <c r="AO33" s="20" t="s">
        <v>54</v>
      </c>
      <c r="AP33" s="157">
        <v>400</v>
      </c>
      <c r="AQ33" s="20" t="s">
        <v>71</v>
      </c>
      <c r="AR33" s="152" t="s">
        <v>40</v>
      </c>
      <c r="AS33" s="20" t="s">
        <v>114</v>
      </c>
      <c r="AT33" s="49">
        <v>3447</v>
      </c>
      <c r="AU33" s="36">
        <v>6383.84</v>
      </c>
      <c r="AV33" s="35">
        <f>[3]REFERENCE!$E$39</f>
        <v>8.3999999999999995E-3</v>
      </c>
      <c r="AW33" s="37">
        <f t="shared" si="2"/>
        <v>2.1449702399999999E-2</v>
      </c>
      <c r="AY33" s="16"/>
      <c r="AZ33" s="43"/>
      <c r="BA33" s="20"/>
      <c r="BB33" s="44"/>
      <c r="BC33" s="20"/>
      <c r="BD33" s="20"/>
      <c r="BE33" s="35"/>
      <c r="BF33" s="20"/>
      <c r="BG33" s="41"/>
    </row>
    <row r="34" spans="1:59" ht="16" x14ac:dyDescent="0.4">
      <c r="A34" s="16">
        <v>31</v>
      </c>
      <c r="B34" s="45"/>
      <c r="C34" s="44"/>
      <c r="D34" s="19"/>
      <c r="E34" s="20"/>
      <c r="F34" s="54"/>
      <c r="G34" s="20"/>
      <c r="H34" s="20"/>
      <c r="I34" s="20"/>
      <c r="J34" s="54"/>
      <c r="K34" s="20"/>
      <c r="L34" s="21"/>
      <c r="M34" s="81"/>
      <c r="N34" s="20">
        <v>31</v>
      </c>
      <c r="O34" s="147">
        <v>45259</v>
      </c>
      <c r="P34" s="20" t="s">
        <v>49</v>
      </c>
      <c r="Q34" s="20">
        <v>16000</v>
      </c>
      <c r="R34" s="20" t="s">
        <v>84</v>
      </c>
      <c r="S34" s="20" t="s">
        <v>89</v>
      </c>
      <c r="T34" s="20">
        <v>269</v>
      </c>
      <c r="U34" s="20" t="s">
        <v>113</v>
      </c>
      <c r="V34" s="149">
        <f t="shared" si="4"/>
        <v>8.0699999999999994E-2</v>
      </c>
      <c r="W34" s="20"/>
      <c r="X34" s="20">
        <f>[3]REFERENCE!$E$37</f>
        <v>0.59279999999999999</v>
      </c>
      <c r="Y34" s="21">
        <f t="shared" si="5"/>
        <v>0.1594632</v>
      </c>
      <c r="Z34" s="81"/>
      <c r="AB34" s="29">
        <v>31</v>
      </c>
      <c r="AC34" s="159">
        <v>45449</v>
      </c>
      <c r="AD34" s="20" t="s">
        <v>102</v>
      </c>
      <c r="AE34" s="152">
        <v>100</v>
      </c>
      <c r="AF34" s="20" t="s">
        <v>32</v>
      </c>
      <c r="AG34" s="152" t="s">
        <v>34</v>
      </c>
      <c r="AH34" s="20">
        <v>702</v>
      </c>
      <c r="AI34" s="20"/>
      <c r="AJ34" s="34">
        <f>[3]REFERENCE!$E$38</f>
        <v>9.9600000000000001E-3</v>
      </c>
      <c r="AK34" s="21">
        <f t="shared" si="1"/>
        <v>6.9919199999999996E-4</v>
      </c>
      <c r="AM34" s="16">
        <v>31</v>
      </c>
      <c r="AN34" s="159">
        <v>45259</v>
      </c>
      <c r="AO34" s="20" t="s">
        <v>49</v>
      </c>
      <c r="AP34" s="157">
        <v>16000</v>
      </c>
      <c r="AQ34" s="20" t="s">
        <v>71</v>
      </c>
      <c r="AR34" s="152" t="s">
        <v>40</v>
      </c>
      <c r="AS34" s="20" t="s">
        <v>114</v>
      </c>
      <c r="AT34" s="49">
        <v>3447</v>
      </c>
      <c r="AU34" s="36">
        <v>6383.84</v>
      </c>
      <c r="AV34" s="35">
        <f>[3]REFERENCE!$E$39</f>
        <v>8.3999999999999995E-3</v>
      </c>
      <c r="AW34" s="37">
        <f t="shared" si="2"/>
        <v>0.85798809599999992</v>
      </c>
      <c r="AY34" s="16"/>
      <c r="AZ34" s="43"/>
      <c r="BA34" s="20"/>
      <c r="BB34" s="44"/>
      <c r="BC34" s="20"/>
      <c r="BD34" s="20"/>
      <c r="BE34" s="35"/>
      <c r="BF34" s="20"/>
      <c r="BG34" s="41"/>
    </row>
    <row r="35" spans="1:59" ht="16" x14ac:dyDescent="0.4">
      <c r="A35" s="16">
        <v>32</v>
      </c>
      <c r="B35" s="45"/>
      <c r="C35" s="44"/>
      <c r="D35" s="19"/>
      <c r="E35" s="20"/>
      <c r="F35" s="20"/>
      <c r="G35" s="20"/>
      <c r="H35" s="20"/>
      <c r="I35" s="20"/>
      <c r="J35" s="20"/>
      <c r="K35" s="20"/>
      <c r="L35" s="21"/>
      <c r="M35" s="81"/>
      <c r="N35" s="20">
        <v>32</v>
      </c>
      <c r="O35" s="147">
        <v>45261</v>
      </c>
      <c r="P35" s="20" t="s">
        <v>49</v>
      </c>
      <c r="Q35" s="20">
        <v>24675</v>
      </c>
      <c r="R35" s="20" t="s">
        <v>84</v>
      </c>
      <c r="S35" s="20" t="s">
        <v>89</v>
      </c>
      <c r="T35" s="20">
        <v>269</v>
      </c>
      <c r="U35" s="20" t="s">
        <v>113</v>
      </c>
      <c r="V35" s="149">
        <f t="shared" si="4"/>
        <v>8.0699999999999994E-2</v>
      </c>
      <c r="W35" s="20"/>
      <c r="X35" s="20">
        <f>[3]REFERENCE!$E$37</f>
        <v>0.59279999999999999</v>
      </c>
      <c r="Y35" s="21">
        <f t="shared" si="5"/>
        <v>0.1594632</v>
      </c>
      <c r="Z35" s="81"/>
      <c r="AB35" s="29">
        <v>32</v>
      </c>
      <c r="AC35" s="159">
        <v>45462</v>
      </c>
      <c r="AD35" s="20" t="s">
        <v>103</v>
      </c>
      <c r="AE35" s="152">
        <v>1125</v>
      </c>
      <c r="AF35" s="20" t="s">
        <v>32</v>
      </c>
      <c r="AG35" s="152" t="s">
        <v>34</v>
      </c>
      <c r="AH35" s="20">
        <v>702</v>
      </c>
      <c r="AI35" s="20"/>
      <c r="AJ35" s="34">
        <f>[3]REFERENCE!$E$38</f>
        <v>9.9600000000000001E-3</v>
      </c>
      <c r="AK35" s="21">
        <f t="shared" si="1"/>
        <v>7.8659100000000003E-3</v>
      </c>
      <c r="AM35" s="16">
        <v>32</v>
      </c>
      <c r="AN35" s="159">
        <v>45261</v>
      </c>
      <c r="AO35" s="20" t="s">
        <v>49</v>
      </c>
      <c r="AP35" s="157">
        <v>24675</v>
      </c>
      <c r="AQ35" s="20" t="s">
        <v>71</v>
      </c>
      <c r="AR35" s="152" t="s">
        <v>40</v>
      </c>
      <c r="AS35" s="20" t="s">
        <v>114</v>
      </c>
      <c r="AT35" s="49">
        <v>3447</v>
      </c>
      <c r="AU35" s="36">
        <v>6383.84</v>
      </c>
      <c r="AV35" s="35">
        <f>[3]REFERENCE!$E$39</f>
        <v>8.3999999999999995E-3</v>
      </c>
      <c r="AW35" s="37">
        <f t="shared" si="2"/>
        <v>1.3231785167999999</v>
      </c>
      <c r="AY35" s="16"/>
      <c r="AZ35" s="43"/>
      <c r="BA35" s="20"/>
      <c r="BB35" s="44"/>
      <c r="BC35" s="20"/>
      <c r="BD35" s="20"/>
      <c r="BE35" s="35"/>
      <c r="BF35" s="20"/>
      <c r="BG35" s="41"/>
    </row>
    <row r="36" spans="1:59" ht="16" x14ac:dyDescent="0.4">
      <c r="A36" s="16">
        <v>33</v>
      </c>
      <c r="B36" s="45"/>
      <c r="C36" s="44"/>
      <c r="D36" s="19"/>
      <c r="E36" s="20"/>
      <c r="F36" s="20"/>
      <c r="G36" s="20"/>
      <c r="H36" s="20"/>
      <c r="I36" s="20"/>
      <c r="J36" s="20"/>
      <c r="K36" s="20"/>
      <c r="L36" s="21"/>
      <c r="M36" s="81"/>
      <c r="N36" s="20">
        <v>33</v>
      </c>
      <c r="O36" s="147">
        <v>45268</v>
      </c>
      <c r="P36" s="20" t="s">
        <v>49</v>
      </c>
      <c r="Q36" s="20">
        <v>25000</v>
      </c>
      <c r="R36" s="20" t="s">
        <v>84</v>
      </c>
      <c r="S36" s="20" t="s">
        <v>89</v>
      </c>
      <c r="T36" s="20">
        <v>269</v>
      </c>
      <c r="U36" s="20" t="s">
        <v>113</v>
      </c>
      <c r="V36" s="149">
        <f t="shared" si="4"/>
        <v>8.0699999999999994E-2</v>
      </c>
      <c r="W36" s="20"/>
      <c r="X36" s="20">
        <f>[3]REFERENCE!$E$37</f>
        <v>0.59279999999999999</v>
      </c>
      <c r="Y36" s="21">
        <f t="shared" si="5"/>
        <v>0.1594632</v>
      </c>
      <c r="Z36" s="81"/>
      <c r="AB36" s="29">
        <v>33</v>
      </c>
      <c r="AC36" s="159">
        <v>45467</v>
      </c>
      <c r="AD36" s="20" t="s">
        <v>48</v>
      </c>
      <c r="AE36" s="152">
        <v>13608</v>
      </c>
      <c r="AF36" s="20" t="s">
        <v>32</v>
      </c>
      <c r="AG36" s="152" t="s">
        <v>34</v>
      </c>
      <c r="AH36" s="20">
        <v>702</v>
      </c>
      <c r="AI36" s="20"/>
      <c r="AJ36" s="34">
        <f>[3]REFERENCE!$E$38</f>
        <v>9.9600000000000001E-3</v>
      </c>
      <c r="AK36" s="21">
        <f t="shared" si="1"/>
        <v>9.514604736E-2</v>
      </c>
      <c r="AM36" s="16">
        <v>33</v>
      </c>
      <c r="AN36" s="159">
        <v>45268</v>
      </c>
      <c r="AO36" s="20" t="s">
        <v>49</v>
      </c>
      <c r="AP36" s="157">
        <v>25000</v>
      </c>
      <c r="AQ36" s="20" t="s">
        <v>71</v>
      </c>
      <c r="AR36" s="152" t="s">
        <v>40</v>
      </c>
      <c r="AS36" s="20" t="s">
        <v>114</v>
      </c>
      <c r="AT36" s="49">
        <v>3447</v>
      </c>
      <c r="AU36" s="36">
        <v>6383.84</v>
      </c>
      <c r="AV36" s="35">
        <f>[3]REFERENCE!$E$39</f>
        <v>8.3999999999999995E-3</v>
      </c>
      <c r="AW36" s="37">
        <f t="shared" si="2"/>
        <v>1.3406064</v>
      </c>
      <c r="AY36" s="16"/>
      <c r="AZ36" s="43"/>
      <c r="BA36" s="20"/>
      <c r="BB36" s="44"/>
      <c r="BC36" s="20"/>
      <c r="BD36" s="20"/>
      <c r="BE36" s="35"/>
      <c r="BF36" s="20"/>
      <c r="BG36" s="41"/>
    </row>
    <row r="37" spans="1:59" ht="16" x14ac:dyDescent="0.4">
      <c r="A37" s="16">
        <v>34</v>
      </c>
      <c r="B37" s="45"/>
      <c r="C37" s="44"/>
      <c r="D37" s="19"/>
      <c r="E37" s="20"/>
      <c r="F37" s="20"/>
      <c r="G37" s="20"/>
      <c r="H37" s="20"/>
      <c r="I37" s="20"/>
      <c r="J37" s="20"/>
      <c r="K37" s="20"/>
      <c r="L37" s="21"/>
      <c r="M37" s="81"/>
      <c r="N37" s="20">
        <v>34</v>
      </c>
      <c r="O37" s="147">
        <v>45268</v>
      </c>
      <c r="P37" s="20" t="s">
        <v>54</v>
      </c>
      <c r="Q37" s="20">
        <v>400</v>
      </c>
      <c r="R37" s="20" t="s">
        <v>84</v>
      </c>
      <c r="S37" s="20" t="s">
        <v>89</v>
      </c>
      <c r="T37" s="20">
        <v>269</v>
      </c>
      <c r="U37" s="20" t="s">
        <v>113</v>
      </c>
      <c r="V37" s="149">
        <f t="shared" si="4"/>
        <v>8.0699999999999994E-2</v>
      </c>
      <c r="W37" s="20"/>
      <c r="X37" s="20">
        <f>[3]REFERENCE!$E$37</f>
        <v>0.59279999999999999</v>
      </c>
      <c r="Y37" s="21">
        <f t="shared" si="5"/>
        <v>0.1594632</v>
      </c>
      <c r="Z37" s="81"/>
      <c r="AB37" s="29">
        <v>34</v>
      </c>
      <c r="AC37" s="159">
        <v>45467</v>
      </c>
      <c r="AD37" s="20" t="s">
        <v>46</v>
      </c>
      <c r="AE37" s="152">
        <v>10364.76</v>
      </c>
      <c r="AF37" s="20" t="s">
        <v>32</v>
      </c>
      <c r="AG37" s="152" t="s">
        <v>34</v>
      </c>
      <c r="AH37" s="20">
        <v>702</v>
      </c>
      <c r="AI37" s="20"/>
      <c r="AJ37" s="34">
        <f>[3]REFERENCE!$E$38</f>
        <v>9.9600000000000001E-3</v>
      </c>
      <c r="AK37" s="21">
        <f t="shared" si="1"/>
        <v>7.2469572739200017E-2</v>
      </c>
      <c r="AM37" s="16">
        <v>34</v>
      </c>
      <c r="AN37" s="159">
        <v>45268</v>
      </c>
      <c r="AO37" s="20" t="s">
        <v>54</v>
      </c>
      <c r="AP37" s="157">
        <v>400</v>
      </c>
      <c r="AQ37" s="20" t="s">
        <v>71</v>
      </c>
      <c r="AR37" s="152" t="s">
        <v>40</v>
      </c>
      <c r="AS37" s="20" t="s">
        <v>114</v>
      </c>
      <c r="AT37" s="49">
        <v>3447</v>
      </c>
      <c r="AU37" s="36">
        <v>6383.84</v>
      </c>
      <c r="AV37" s="35">
        <f>[3]REFERENCE!$E$39</f>
        <v>8.3999999999999995E-3</v>
      </c>
      <c r="AW37" s="37">
        <f t="shared" si="2"/>
        <v>2.1449702399999999E-2</v>
      </c>
      <c r="AY37" s="16"/>
      <c r="AZ37" s="43"/>
      <c r="BA37" s="20"/>
      <c r="BB37" s="44"/>
      <c r="BC37" s="20"/>
      <c r="BD37" s="20"/>
      <c r="BE37" s="35"/>
      <c r="BF37" s="20"/>
      <c r="BG37" s="41"/>
    </row>
    <row r="38" spans="1:59" ht="16" x14ac:dyDescent="0.4">
      <c r="A38" s="16">
        <v>35</v>
      </c>
      <c r="B38" s="55"/>
      <c r="C38" s="44"/>
      <c r="D38" s="19"/>
      <c r="E38" s="20"/>
      <c r="F38" s="20"/>
      <c r="G38" s="20"/>
      <c r="H38" s="20"/>
      <c r="I38" s="20"/>
      <c r="J38" s="20"/>
      <c r="K38" s="20"/>
      <c r="L38" s="21"/>
      <c r="M38" s="81"/>
      <c r="N38" s="20">
        <v>35</v>
      </c>
      <c r="O38" s="147">
        <v>45276</v>
      </c>
      <c r="P38" s="20" t="s">
        <v>49</v>
      </c>
      <c r="Q38" s="20">
        <v>25000</v>
      </c>
      <c r="R38" s="20" t="s">
        <v>84</v>
      </c>
      <c r="S38" s="20" t="s">
        <v>89</v>
      </c>
      <c r="T38" s="20">
        <v>269</v>
      </c>
      <c r="U38" s="20" t="s">
        <v>113</v>
      </c>
      <c r="V38" s="149">
        <f t="shared" si="4"/>
        <v>8.0699999999999994E-2</v>
      </c>
      <c r="W38" s="20"/>
      <c r="X38" s="20">
        <f>[3]REFERENCE!$E$37</f>
        <v>0.59279999999999999</v>
      </c>
      <c r="Y38" s="21">
        <f t="shared" si="5"/>
        <v>0.1594632</v>
      </c>
      <c r="Z38" s="81"/>
      <c r="AB38" s="29">
        <v>35</v>
      </c>
      <c r="AC38" s="159">
        <v>45468</v>
      </c>
      <c r="AD38" s="20" t="s">
        <v>47</v>
      </c>
      <c r="AE38" s="152">
        <v>24946.9</v>
      </c>
      <c r="AF38" s="20" t="s">
        <v>32</v>
      </c>
      <c r="AG38" s="152" t="s">
        <v>34</v>
      </c>
      <c r="AH38" s="20">
        <v>702</v>
      </c>
      <c r="AI38" s="20"/>
      <c r="AJ38" s="34">
        <f>[3]REFERENCE!$E$38</f>
        <v>9.9600000000000001E-3</v>
      </c>
      <c r="AK38" s="21">
        <f t="shared" si="1"/>
        <v>0.174426729048</v>
      </c>
      <c r="AM38" s="16">
        <v>35</v>
      </c>
      <c r="AN38" s="159">
        <v>45276</v>
      </c>
      <c r="AO38" s="20" t="s">
        <v>49</v>
      </c>
      <c r="AP38" s="157">
        <v>25000</v>
      </c>
      <c r="AQ38" s="20" t="s">
        <v>71</v>
      </c>
      <c r="AR38" s="152" t="s">
        <v>40</v>
      </c>
      <c r="AS38" s="20" t="s">
        <v>114</v>
      </c>
      <c r="AT38" s="49">
        <v>3447</v>
      </c>
      <c r="AU38" s="36">
        <v>6383.84</v>
      </c>
      <c r="AV38" s="35">
        <f>[3]REFERENCE!$E$39</f>
        <v>8.3999999999999995E-3</v>
      </c>
      <c r="AW38" s="37">
        <f t="shared" si="2"/>
        <v>1.3406064</v>
      </c>
      <c r="AY38" s="16"/>
      <c r="AZ38" s="43"/>
      <c r="BA38" s="20"/>
      <c r="BB38" s="44"/>
      <c r="BC38" s="20"/>
      <c r="BD38" s="20"/>
      <c r="BE38" s="35"/>
      <c r="BF38" s="20"/>
      <c r="BG38" s="41"/>
    </row>
    <row r="39" spans="1:59" ht="16" x14ac:dyDescent="0.4">
      <c r="A39" s="16"/>
      <c r="B39" s="45" t="s">
        <v>33</v>
      </c>
      <c r="C39" s="44"/>
      <c r="D39" s="58"/>
      <c r="E39" s="20"/>
      <c r="F39" s="20"/>
      <c r="G39" s="20"/>
      <c r="H39" s="20"/>
      <c r="I39" s="20"/>
      <c r="J39" s="20"/>
      <c r="K39" s="20"/>
      <c r="L39" s="21"/>
      <c r="M39" s="81"/>
      <c r="N39" s="20">
        <v>36</v>
      </c>
      <c r="O39" s="147">
        <v>45288</v>
      </c>
      <c r="P39" s="20" t="s">
        <v>83</v>
      </c>
      <c r="Q39" s="20">
        <v>7500</v>
      </c>
      <c r="R39" s="20" t="s">
        <v>84</v>
      </c>
      <c r="S39" s="20" t="s">
        <v>85</v>
      </c>
      <c r="T39" s="20">
        <v>51</v>
      </c>
      <c r="U39" s="20" t="s">
        <v>113</v>
      </c>
      <c r="V39" s="149">
        <f t="shared" si="4"/>
        <v>1.5299999999999999E-2</v>
      </c>
      <c r="W39" s="20"/>
      <c r="X39" s="20">
        <f>[3]REFERENCE!$E$37</f>
        <v>0.59279999999999999</v>
      </c>
      <c r="Y39" s="21">
        <f t="shared" si="5"/>
        <v>3.0232800000000001E-2</v>
      </c>
      <c r="Z39" s="81"/>
      <c r="AB39" s="29">
        <v>36</v>
      </c>
      <c r="AC39" s="159">
        <v>45473</v>
      </c>
      <c r="AD39" s="20" t="s">
        <v>53</v>
      </c>
      <c r="AE39" s="152">
        <v>24948</v>
      </c>
      <c r="AF39" s="20" t="s">
        <v>32</v>
      </c>
      <c r="AG39" s="152" t="s">
        <v>34</v>
      </c>
      <c r="AH39" s="20">
        <v>702</v>
      </c>
      <c r="AI39" s="20"/>
      <c r="AJ39" s="34">
        <f>[3]REFERENCE!$E$38</f>
        <v>9.9600000000000001E-3</v>
      </c>
      <c r="AK39" s="21">
        <f t="shared" si="1"/>
        <v>0.17443442016000002</v>
      </c>
      <c r="AM39" s="16">
        <v>36</v>
      </c>
      <c r="AN39" s="159">
        <v>45288</v>
      </c>
      <c r="AO39" s="20" t="s">
        <v>83</v>
      </c>
      <c r="AP39" s="157">
        <v>7500</v>
      </c>
      <c r="AQ39" s="20" t="s">
        <v>34</v>
      </c>
      <c r="AR39" s="152" t="s">
        <v>86</v>
      </c>
      <c r="AS39" s="20" t="s">
        <v>114</v>
      </c>
      <c r="AT39" s="35">
        <v>7082</v>
      </c>
      <c r="AU39" s="36">
        <v>13115.86</v>
      </c>
      <c r="AV39" s="35">
        <f>[3]REFERENCE!$E$39</f>
        <v>8.3999999999999995E-3</v>
      </c>
      <c r="AW39" s="37">
        <f t="shared" si="2"/>
        <v>0.82629917999999991</v>
      </c>
      <c r="AY39" s="16"/>
      <c r="AZ39" s="43"/>
      <c r="BA39" s="20"/>
      <c r="BB39" s="44"/>
      <c r="BC39" s="20"/>
      <c r="BD39" s="20"/>
      <c r="BE39" s="35"/>
      <c r="BF39" s="20"/>
      <c r="BG39" s="41"/>
    </row>
    <row r="40" spans="1:59" ht="16" x14ac:dyDescent="0.4">
      <c r="A40" s="20">
        <v>1</v>
      </c>
      <c r="B40" s="30"/>
      <c r="C40" s="33"/>
      <c r="D40" s="32"/>
      <c r="E40" s="33"/>
      <c r="F40" s="33"/>
      <c r="G40" s="20"/>
      <c r="H40" s="35"/>
      <c r="I40" s="20"/>
      <c r="J40" s="20"/>
      <c r="K40" s="20"/>
      <c r="L40" s="21"/>
      <c r="M40" s="81"/>
      <c r="N40" s="20">
        <v>37</v>
      </c>
      <c r="O40" s="147">
        <v>45302</v>
      </c>
      <c r="P40" s="20" t="s">
        <v>49</v>
      </c>
      <c r="Q40" s="20">
        <v>24300</v>
      </c>
      <c r="R40" s="20" t="s">
        <v>84</v>
      </c>
      <c r="S40" s="20" t="s">
        <v>89</v>
      </c>
      <c r="T40" s="20">
        <v>269</v>
      </c>
      <c r="U40" s="20" t="s">
        <v>113</v>
      </c>
      <c r="V40" s="149">
        <f t="shared" si="4"/>
        <v>8.0699999999999994E-2</v>
      </c>
      <c r="W40" s="20"/>
      <c r="X40" s="20">
        <f>[3]REFERENCE!$E$37</f>
        <v>0.59279999999999999</v>
      </c>
      <c r="Y40" s="21">
        <f t="shared" si="5"/>
        <v>0.1594632</v>
      </c>
      <c r="Z40" s="81"/>
      <c r="AB40" s="29">
        <v>37</v>
      </c>
      <c r="AC40" s="159">
        <v>45473</v>
      </c>
      <c r="AD40" s="20" t="s">
        <v>46</v>
      </c>
      <c r="AE40" s="152">
        <v>24948</v>
      </c>
      <c r="AF40" s="20" t="s">
        <v>32</v>
      </c>
      <c r="AG40" s="152" t="s">
        <v>34</v>
      </c>
      <c r="AH40" s="20">
        <v>702</v>
      </c>
      <c r="AI40" s="20"/>
      <c r="AJ40" s="34">
        <f>[3]REFERENCE!$E$38</f>
        <v>9.9600000000000001E-3</v>
      </c>
      <c r="AK40" s="21">
        <f t="shared" si="1"/>
        <v>0.17443442016000002</v>
      </c>
      <c r="AM40" s="16">
        <v>37</v>
      </c>
      <c r="AN40" s="147">
        <v>45302</v>
      </c>
      <c r="AO40" s="20" t="s">
        <v>49</v>
      </c>
      <c r="AP40" s="157">
        <v>24300</v>
      </c>
      <c r="AQ40" s="20" t="s">
        <v>71</v>
      </c>
      <c r="AR40" s="20" t="s">
        <v>40</v>
      </c>
      <c r="AS40" s="20" t="s">
        <v>114</v>
      </c>
      <c r="AT40" s="49">
        <v>3447</v>
      </c>
      <c r="AU40" s="36">
        <v>6383.84</v>
      </c>
      <c r="AV40" s="35">
        <f>[3]REFERENCE!$E$39</f>
        <v>8.3999999999999995E-3</v>
      </c>
      <c r="AW40" s="37">
        <f t="shared" si="2"/>
        <v>1.3030694208</v>
      </c>
      <c r="AY40" s="16"/>
      <c r="AZ40" s="43"/>
      <c r="BA40" s="20"/>
      <c r="BB40" s="44"/>
      <c r="BC40" s="20"/>
      <c r="BD40" s="20"/>
      <c r="BE40" s="35"/>
      <c r="BF40" s="20"/>
      <c r="BG40" s="41"/>
    </row>
    <row r="41" spans="1:59" ht="16" x14ac:dyDescent="0.4">
      <c r="A41" s="20">
        <v>2</v>
      </c>
      <c r="B41" s="30"/>
      <c r="C41" s="38"/>
      <c r="D41" s="32"/>
      <c r="E41" s="33"/>
      <c r="F41" s="33"/>
      <c r="G41" s="20"/>
      <c r="H41" s="35"/>
      <c r="I41" s="20"/>
      <c r="J41" s="20"/>
      <c r="K41" s="20"/>
      <c r="L41" s="21"/>
      <c r="M41" s="81"/>
      <c r="N41" s="20">
        <v>38</v>
      </c>
      <c r="O41" s="147">
        <v>45304</v>
      </c>
      <c r="P41" s="20" t="s">
        <v>49</v>
      </c>
      <c r="Q41" s="20">
        <v>25000</v>
      </c>
      <c r="R41" s="20" t="s">
        <v>84</v>
      </c>
      <c r="S41" s="20" t="s">
        <v>89</v>
      </c>
      <c r="T41" s="20">
        <v>269</v>
      </c>
      <c r="U41" s="20" t="s">
        <v>113</v>
      </c>
      <c r="V41" s="149">
        <f t="shared" si="4"/>
        <v>8.0699999999999994E-2</v>
      </c>
      <c r="W41" s="20"/>
      <c r="X41" s="20">
        <f>[3]REFERENCE!$E$37</f>
        <v>0.59279999999999999</v>
      </c>
      <c r="Y41" s="21">
        <f t="shared" si="5"/>
        <v>0.1594632</v>
      </c>
      <c r="Z41" s="81"/>
      <c r="AB41" s="29">
        <v>38</v>
      </c>
      <c r="AC41" s="159">
        <v>45473</v>
      </c>
      <c r="AD41" s="20" t="s">
        <v>104</v>
      </c>
      <c r="AE41" s="152">
        <v>12000</v>
      </c>
      <c r="AF41" s="20" t="s">
        <v>32</v>
      </c>
      <c r="AG41" s="152" t="s">
        <v>34</v>
      </c>
      <c r="AH41" s="20">
        <v>702</v>
      </c>
      <c r="AI41" s="20"/>
      <c r="AJ41" s="34">
        <f>[3]REFERENCE!$E$38</f>
        <v>9.9600000000000001E-3</v>
      </c>
      <c r="AK41" s="21">
        <f t="shared" si="1"/>
        <v>8.3903040000000012E-2</v>
      </c>
      <c r="AM41" s="16">
        <v>38</v>
      </c>
      <c r="AN41" s="147">
        <v>45304</v>
      </c>
      <c r="AO41" s="20" t="s">
        <v>49</v>
      </c>
      <c r="AP41" s="157">
        <v>25000</v>
      </c>
      <c r="AQ41" s="20" t="s">
        <v>71</v>
      </c>
      <c r="AR41" s="20" t="s">
        <v>40</v>
      </c>
      <c r="AS41" s="20" t="s">
        <v>114</v>
      </c>
      <c r="AT41" s="49">
        <v>3447</v>
      </c>
      <c r="AU41" s="36">
        <v>6383.84</v>
      </c>
      <c r="AV41" s="35">
        <f>[3]REFERENCE!$E$39</f>
        <v>8.3999999999999995E-3</v>
      </c>
      <c r="AW41" s="37">
        <f t="shared" si="2"/>
        <v>1.3406064</v>
      </c>
      <c r="AY41" s="16"/>
      <c r="AZ41" s="43"/>
      <c r="BA41" s="20"/>
      <c r="BB41" s="44"/>
      <c r="BC41" s="20"/>
      <c r="BD41" s="20"/>
      <c r="BE41" s="35"/>
      <c r="BF41" s="20"/>
      <c r="BG41" s="41"/>
    </row>
    <row r="42" spans="1:59" ht="16" x14ac:dyDescent="0.4">
      <c r="A42" s="20">
        <v>3</v>
      </c>
      <c r="B42" s="30"/>
      <c r="C42" s="31"/>
      <c r="D42" s="32"/>
      <c r="E42" s="33"/>
      <c r="F42" s="33"/>
      <c r="G42" s="20"/>
      <c r="H42" s="35"/>
      <c r="I42" s="20"/>
      <c r="J42" s="20"/>
      <c r="K42" s="20"/>
      <c r="L42" s="21"/>
      <c r="M42" s="81"/>
      <c r="N42" s="20">
        <v>39</v>
      </c>
      <c r="O42" s="147">
        <v>45317</v>
      </c>
      <c r="P42" s="20" t="s">
        <v>49</v>
      </c>
      <c r="Q42" s="20">
        <v>25000</v>
      </c>
      <c r="R42" s="20" t="s">
        <v>84</v>
      </c>
      <c r="S42" s="20" t="s">
        <v>89</v>
      </c>
      <c r="T42" s="20">
        <v>269</v>
      </c>
      <c r="U42" s="20" t="s">
        <v>113</v>
      </c>
      <c r="V42" s="149">
        <f t="shared" si="4"/>
        <v>8.0699999999999994E-2</v>
      </c>
      <c r="W42" s="20"/>
      <c r="X42" s="20">
        <f>[3]REFERENCE!$E$37</f>
        <v>0.59279999999999999</v>
      </c>
      <c r="Y42" s="21">
        <f t="shared" si="5"/>
        <v>0.1594632</v>
      </c>
      <c r="Z42" s="81"/>
      <c r="AB42" s="29">
        <v>39</v>
      </c>
      <c r="AC42" s="159">
        <v>45473</v>
      </c>
      <c r="AD42" s="20" t="s">
        <v>77</v>
      </c>
      <c r="AE42" s="152">
        <v>5000</v>
      </c>
      <c r="AF42" s="20" t="s">
        <v>32</v>
      </c>
      <c r="AG42" s="152" t="s">
        <v>34</v>
      </c>
      <c r="AH42" s="20">
        <v>702</v>
      </c>
      <c r="AI42" s="20"/>
      <c r="AJ42" s="34">
        <f>[3]REFERENCE!$E$38</f>
        <v>9.9600000000000001E-3</v>
      </c>
      <c r="AK42" s="21">
        <f t="shared" si="1"/>
        <v>3.49596E-2</v>
      </c>
      <c r="AM42" s="16">
        <v>39</v>
      </c>
      <c r="AN42" s="147">
        <v>45317</v>
      </c>
      <c r="AO42" s="20" t="s">
        <v>49</v>
      </c>
      <c r="AP42" s="157">
        <v>25000</v>
      </c>
      <c r="AQ42" s="20" t="s">
        <v>71</v>
      </c>
      <c r="AR42" s="20" t="s">
        <v>40</v>
      </c>
      <c r="AS42" s="20" t="s">
        <v>114</v>
      </c>
      <c r="AT42" s="49">
        <v>3447</v>
      </c>
      <c r="AU42" s="36">
        <v>6383.84</v>
      </c>
      <c r="AV42" s="35">
        <f>[3]REFERENCE!$E$39</f>
        <v>8.3999999999999995E-3</v>
      </c>
      <c r="AW42" s="37">
        <f t="shared" si="2"/>
        <v>1.3406064</v>
      </c>
      <c r="AY42" s="16"/>
      <c r="AZ42" s="43"/>
      <c r="BA42" s="20"/>
      <c r="BB42" s="44"/>
      <c r="BC42" s="20"/>
      <c r="BD42" s="20"/>
      <c r="BE42" s="35"/>
      <c r="BF42" s="20"/>
      <c r="BG42" s="41"/>
    </row>
    <row r="43" spans="1:59" ht="16" x14ac:dyDescent="0.4">
      <c r="A43" s="20">
        <v>4</v>
      </c>
      <c r="B43" s="30"/>
      <c r="C43" s="31"/>
      <c r="D43" s="32"/>
      <c r="E43" s="33"/>
      <c r="F43" s="33"/>
      <c r="G43" s="20"/>
      <c r="H43" s="35"/>
      <c r="I43" s="20"/>
      <c r="J43" s="20"/>
      <c r="K43" s="20"/>
      <c r="L43" s="21"/>
      <c r="M43" s="81"/>
      <c r="N43" s="20">
        <v>40</v>
      </c>
      <c r="O43" s="147">
        <v>45320</v>
      </c>
      <c r="P43" s="20" t="s">
        <v>92</v>
      </c>
      <c r="Q43" s="20">
        <v>24948</v>
      </c>
      <c r="R43" s="20" t="s">
        <v>84</v>
      </c>
      <c r="S43" s="20" t="s">
        <v>85</v>
      </c>
      <c r="T43" s="20">
        <v>51</v>
      </c>
      <c r="U43" s="20" t="s">
        <v>113</v>
      </c>
      <c r="V43" s="149">
        <f t="shared" si="4"/>
        <v>1.5299999999999999E-2</v>
      </c>
      <c r="W43" s="20"/>
      <c r="X43" s="20">
        <f>[3]REFERENCE!$E$37</f>
        <v>0.59279999999999999</v>
      </c>
      <c r="Y43" s="21">
        <f t="shared" si="5"/>
        <v>3.0232800000000001E-2</v>
      </c>
      <c r="Z43" s="81"/>
      <c r="AB43" s="29">
        <v>40</v>
      </c>
      <c r="AC43" s="159">
        <v>45473</v>
      </c>
      <c r="AD43" s="20" t="s">
        <v>105</v>
      </c>
      <c r="AE43" s="152">
        <v>5000</v>
      </c>
      <c r="AF43" s="20" t="s">
        <v>32</v>
      </c>
      <c r="AG43" s="152" t="s">
        <v>34</v>
      </c>
      <c r="AH43" s="20">
        <v>702</v>
      </c>
      <c r="AI43" s="20"/>
      <c r="AJ43" s="34">
        <f>[3]REFERENCE!$E$38</f>
        <v>9.9600000000000001E-3</v>
      </c>
      <c r="AK43" s="21">
        <f t="shared" si="1"/>
        <v>3.49596E-2</v>
      </c>
      <c r="AM43" s="16">
        <v>40</v>
      </c>
      <c r="AN43" s="147">
        <v>45320</v>
      </c>
      <c r="AO43" s="20" t="s">
        <v>92</v>
      </c>
      <c r="AP43" s="157">
        <v>24948</v>
      </c>
      <c r="AQ43" s="20" t="s">
        <v>34</v>
      </c>
      <c r="AR43" s="20" t="s">
        <v>97</v>
      </c>
      <c r="AS43" s="20" t="s">
        <v>114</v>
      </c>
      <c r="AT43" s="51">
        <v>9036</v>
      </c>
      <c r="AU43" s="36">
        <v>16734.672000000002</v>
      </c>
      <c r="AV43" s="35">
        <f>[3]REFERENCE!$E$39</f>
        <v>8.3999999999999995E-3</v>
      </c>
      <c r="AW43" s="37">
        <f t="shared" si="2"/>
        <v>3.5069714152704003</v>
      </c>
      <c r="AY43" s="16"/>
      <c r="AZ43" s="43"/>
      <c r="BA43" s="20"/>
      <c r="BB43" s="44"/>
      <c r="BC43" s="20"/>
      <c r="BD43" s="20"/>
      <c r="BE43" s="35"/>
      <c r="BF43" s="20"/>
      <c r="BG43" s="41"/>
    </row>
    <row r="44" spans="1:59" ht="16" x14ac:dyDescent="0.4">
      <c r="A44" s="20">
        <v>5</v>
      </c>
      <c r="B44" s="30"/>
      <c r="C44" s="38"/>
      <c r="D44" s="32"/>
      <c r="E44" s="33"/>
      <c r="F44" s="33"/>
      <c r="G44" s="20"/>
      <c r="H44" s="35"/>
      <c r="I44" s="20"/>
      <c r="J44" s="20"/>
      <c r="K44" s="20"/>
      <c r="L44" s="21"/>
      <c r="M44" s="81"/>
      <c r="N44" s="20">
        <v>41</v>
      </c>
      <c r="O44" s="147">
        <v>45321</v>
      </c>
      <c r="P44" s="20" t="s">
        <v>49</v>
      </c>
      <c r="Q44" s="20">
        <v>25000</v>
      </c>
      <c r="R44" s="20" t="s">
        <v>84</v>
      </c>
      <c r="S44" s="20" t="s">
        <v>89</v>
      </c>
      <c r="T44" s="20">
        <v>269</v>
      </c>
      <c r="U44" s="20" t="s">
        <v>113</v>
      </c>
      <c r="V44" s="149">
        <f t="shared" si="4"/>
        <v>8.0699999999999994E-2</v>
      </c>
      <c r="W44" s="20"/>
      <c r="X44" s="20">
        <f>[3]REFERENCE!$E$37</f>
        <v>0.59279999999999999</v>
      </c>
      <c r="Y44" s="21">
        <f t="shared" si="5"/>
        <v>0.1594632</v>
      </c>
      <c r="Z44" s="81"/>
      <c r="AB44" s="29">
        <v>41</v>
      </c>
      <c r="AC44" s="30"/>
      <c r="AD44" s="46"/>
      <c r="AE44" s="32"/>
      <c r="AF44" s="20"/>
      <c r="AG44" s="33"/>
      <c r="AH44" s="20"/>
      <c r="AI44" s="20"/>
      <c r="AJ44" s="34"/>
      <c r="AK44" s="21"/>
      <c r="AM44" s="16">
        <v>41</v>
      </c>
      <c r="AN44" s="147">
        <v>45321</v>
      </c>
      <c r="AO44" s="20" t="s">
        <v>49</v>
      </c>
      <c r="AP44" s="157">
        <v>25000</v>
      </c>
      <c r="AQ44" s="20" t="s">
        <v>71</v>
      </c>
      <c r="AR44" s="20" t="s">
        <v>40</v>
      </c>
      <c r="AS44" s="20" t="s">
        <v>114</v>
      </c>
      <c r="AT44" s="49">
        <v>3447</v>
      </c>
      <c r="AU44" s="36">
        <v>6383.84</v>
      </c>
      <c r="AV44" s="35">
        <f>[3]REFERENCE!$E$39</f>
        <v>8.3999999999999995E-3</v>
      </c>
      <c r="AW44" s="37">
        <f t="shared" si="2"/>
        <v>1.3406064</v>
      </c>
      <c r="AY44" s="16"/>
      <c r="AZ44" s="43"/>
      <c r="BA44" s="20"/>
      <c r="BB44" s="44"/>
      <c r="BC44" s="20"/>
      <c r="BD44" s="20"/>
      <c r="BE44" s="35"/>
      <c r="BF44" s="20"/>
      <c r="BG44" s="41"/>
    </row>
    <row r="45" spans="1:59" ht="16" x14ac:dyDescent="0.4">
      <c r="A45" s="20">
        <v>6</v>
      </c>
      <c r="B45" s="30"/>
      <c r="C45" s="38"/>
      <c r="D45" s="32"/>
      <c r="E45" s="33"/>
      <c r="F45" s="33"/>
      <c r="G45" s="20"/>
      <c r="H45" s="35"/>
      <c r="I45" s="20"/>
      <c r="J45" s="20"/>
      <c r="K45" s="20"/>
      <c r="L45" s="21"/>
      <c r="M45" s="81"/>
      <c r="N45" s="20">
        <v>42</v>
      </c>
      <c r="O45" s="147">
        <v>45321</v>
      </c>
      <c r="P45" s="20" t="s">
        <v>54</v>
      </c>
      <c r="Q45" s="20">
        <v>400</v>
      </c>
      <c r="R45" s="20" t="s">
        <v>84</v>
      </c>
      <c r="S45" s="20" t="s">
        <v>89</v>
      </c>
      <c r="T45" s="20">
        <v>269</v>
      </c>
      <c r="U45" s="20" t="s">
        <v>113</v>
      </c>
      <c r="V45" s="149">
        <f t="shared" si="4"/>
        <v>8.0699999999999994E-2</v>
      </c>
      <c r="W45" s="20"/>
      <c r="X45" s="20">
        <f>[3]REFERENCE!$E$37</f>
        <v>0.59279999999999999</v>
      </c>
      <c r="Y45" s="21">
        <f t="shared" si="5"/>
        <v>0.1594632</v>
      </c>
      <c r="Z45" s="81"/>
      <c r="AB45" s="29">
        <v>42</v>
      </c>
      <c r="AC45" s="30"/>
      <c r="AD45" s="31"/>
      <c r="AE45" s="32"/>
      <c r="AF45" s="20"/>
      <c r="AG45" s="33"/>
      <c r="AH45" s="20"/>
      <c r="AI45" s="20"/>
      <c r="AJ45" s="34"/>
      <c r="AK45" s="21"/>
      <c r="AM45" s="16">
        <v>42</v>
      </c>
      <c r="AN45" s="147">
        <v>45321</v>
      </c>
      <c r="AO45" s="20" t="s">
        <v>54</v>
      </c>
      <c r="AP45" s="157">
        <v>400</v>
      </c>
      <c r="AQ45" s="20" t="s">
        <v>71</v>
      </c>
      <c r="AR45" s="20" t="s">
        <v>40</v>
      </c>
      <c r="AS45" s="20" t="s">
        <v>114</v>
      </c>
      <c r="AT45" s="49">
        <v>3447</v>
      </c>
      <c r="AU45" s="36">
        <v>6383.84</v>
      </c>
      <c r="AV45" s="35">
        <f>[3]REFERENCE!$E$39</f>
        <v>8.3999999999999995E-3</v>
      </c>
      <c r="AW45" s="37">
        <f t="shared" si="2"/>
        <v>2.1449702399999999E-2</v>
      </c>
      <c r="AY45" s="16"/>
      <c r="AZ45" s="43"/>
      <c r="BA45" s="20"/>
      <c r="BB45" s="44"/>
      <c r="BC45" s="20"/>
      <c r="BD45" s="20"/>
      <c r="BE45" s="35"/>
      <c r="BF45" s="20"/>
      <c r="BG45" s="41"/>
    </row>
    <row r="46" spans="1:59" ht="16" x14ac:dyDescent="0.4">
      <c r="A46" s="20">
        <v>7</v>
      </c>
      <c r="B46" s="30"/>
      <c r="C46" s="38"/>
      <c r="D46" s="32"/>
      <c r="E46" s="33"/>
      <c r="F46" s="33"/>
      <c r="G46" s="20"/>
      <c r="H46" s="35"/>
      <c r="I46" s="20"/>
      <c r="J46" s="20"/>
      <c r="K46" s="20"/>
      <c r="L46" s="21"/>
      <c r="M46" s="81"/>
      <c r="N46" s="20">
        <v>43</v>
      </c>
      <c r="O46" s="147">
        <v>45323</v>
      </c>
      <c r="P46" s="20" t="s">
        <v>49</v>
      </c>
      <c r="Q46" s="20">
        <v>25000</v>
      </c>
      <c r="R46" s="20" t="s">
        <v>84</v>
      </c>
      <c r="S46" s="20" t="s">
        <v>89</v>
      </c>
      <c r="T46" s="20">
        <v>269</v>
      </c>
      <c r="U46" s="20" t="s">
        <v>113</v>
      </c>
      <c r="V46" s="149">
        <f t="shared" si="4"/>
        <v>8.0699999999999994E-2</v>
      </c>
      <c r="W46" s="20"/>
      <c r="X46" s="20">
        <f>[3]REFERENCE!$E$37</f>
        <v>0.59279999999999999</v>
      </c>
      <c r="Y46" s="21">
        <f t="shared" si="5"/>
        <v>0.1594632</v>
      </c>
      <c r="Z46" s="81"/>
      <c r="AB46" s="29">
        <v>43</v>
      </c>
      <c r="AC46" s="30"/>
      <c r="AD46" s="31"/>
      <c r="AE46" s="32"/>
      <c r="AF46" s="20"/>
      <c r="AG46" s="33"/>
      <c r="AH46" s="20"/>
      <c r="AI46" s="20"/>
      <c r="AJ46" s="34"/>
      <c r="AK46" s="21"/>
      <c r="AM46" s="16">
        <v>43</v>
      </c>
      <c r="AN46" s="147">
        <v>45323</v>
      </c>
      <c r="AO46" s="20" t="s">
        <v>49</v>
      </c>
      <c r="AP46" s="157">
        <v>25000</v>
      </c>
      <c r="AQ46" s="20" t="s">
        <v>71</v>
      </c>
      <c r="AR46" s="20" t="s">
        <v>40</v>
      </c>
      <c r="AS46" s="20" t="s">
        <v>114</v>
      </c>
      <c r="AT46" s="49">
        <v>3447</v>
      </c>
      <c r="AU46" s="36">
        <v>6383.84</v>
      </c>
      <c r="AV46" s="35">
        <f>[3]REFERENCE!$E$39</f>
        <v>8.3999999999999995E-3</v>
      </c>
      <c r="AW46" s="37">
        <f t="shared" si="2"/>
        <v>1.3406064</v>
      </c>
      <c r="AY46" s="16"/>
      <c r="AZ46" s="43"/>
      <c r="BA46" s="20"/>
      <c r="BB46" s="44"/>
      <c r="BC46" s="20"/>
      <c r="BD46" s="20"/>
      <c r="BE46" s="35"/>
      <c r="BF46" s="20"/>
      <c r="BG46" s="41"/>
    </row>
    <row r="47" spans="1:59" ht="16" x14ac:dyDescent="0.4">
      <c r="A47" s="20">
        <v>8</v>
      </c>
      <c r="B47" s="30"/>
      <c r="C47" s="38"/>
      <c r="D47" s="32"/>
      <c r="E47" s="33"/>
      <c r="F47" s="33"/>
      <c r="G47" s="20"/>
      <c r="H47" s="35"/>
      <c r="I47" s="20"/>
      <c r="J47" s="20"/>
      <c r="K47" s="20"/>
      <c r="L47" s="21"/>
      <c r="M47" s="81"/>
      <c r="N47" s="20">
        <v>44</v>
      </c>
      <c r="O47" s="147">
        <v>45325</v>
      </c>
      <c r="P47" s="20" t="s">
        <v>98</v>
      </c>
      <c r="Q47" s="20">
        <v>24948</v>
      </c>
      <c r="R47" s="20" t="s">
        <v>84</v>
      </c>
      <c r="S47" s="20" t="s">
        <v>85</v>
      </c>
      <c r="T47" s="20">
        <v>51</v>
      </c>
      <c r="U47" s="20" t="s">
        <v>113</v>
      </c>
      <c r="V47" s="149">
        <f t="shared" si="4"/>
        <v>1.5299999999999999E-2</v>
      </c>
      <c r="W47" s="20"/>
      <c r="X47" s="20">
        <f>[3]REFERENCE!$E$37</f>
        <v>0.59279999999999999</v>
      </c>
      <c r="Y47" s="21">
        <f t="shared" si="5"/>
        <v>3.0232800000000001E-2</v>
      </c>
      <c r="Z47" s="81"/>
      <c r="AB47" s="29">
        <v>44</v>
      </c>
      <c r="AC47" s="30"/>
      <c r="AD47" s="46"/>
      <c r="AE47" s="32"/>
      <c r="AF47" s="20"/>
      <c r="AG47" s="33"/>
      <c r="AH47" s="20"/>
      <c r="AI47" s="20"/>
      <c r="AJ47" s="34"/>
      <c r="AK47" s="21"/>
      <c r="AM47" s="16">
        <v>44</v>
      </c>
      <c r="AN47" s="147">
        <v>45325</v>
      </c>
      <c r="AO47" s="20" t="s">
        <v>98</v>
      </c>
      <c r="AP47" s="157">
        <v>24948</v>
      </c>
      <c r="AQ47" s="20" t="s">
        <v>34</v>
      </c>
      <c r="AR47" s="20" t="s">
        <v>97</v>
      </c>
      <c r="AS47" s="20" t="s">
        <v>114</v>
      </c>
      <c r="AT47" s="51">
        <v>9036</v>
      </c>
      <c r="AU47" s="36">
        <v>16734.672000000002</v>
      </c>
      <c r="AV47" s="35">
        <f>[3]REFERENCE!$E$39</f>
        <v>8.3999999999999995E-3</v>
      </c>
      <c r="AW47" s="37">
        <f t="shared" si="2"/>
        <v>3.5069714152704003</v>
      </c>
      <c r="AY47" s="16"/>
      <c r="AZ47" s="43"/>
      <c r="BA47" s="20"/>
      <c r="BB47" s="44"/>
      <c r="BC47" s="20"/>
      <c r="BD47" s="20"/>
      <c r="BE47" s="35"/>
      <c r="BF47" s="20"/>
      <c r="BG47" s="41"/>
    </row>
    <row r="48" spans="1:59" ht="16.5" thickBot="1" x14ac:dyDescent="0.45">
      <c r="A48" s="20">
        <v>9</v>
      </c>
      <c r="B48" s="30"/>
      <c r="C48" s="38"/>
      <c r="D48" s="32"/>
      <c r="E48" s="33"/>
      <c r="F48" s="33"/>
      <c r="G48" s="20"/>
      <c r="H48" s="35"/>
      <c r="I48" s="20"/>
      <c r="J48" s="20"/>
      <c r="K48" s="20"/>
      <c r="L48" s="21"/>
      <c r="M48" s="81"/>
      <c r="N48" s="20">
        <v>45</v>
      </c>
      <c r="O48" s="147">
        <v>45350</v>
      </c>
      <c r="P48" s="20" t="s">
        <v>49</v>
      </c>
      <c r="Q48" s="20">
        <v>25000</v>
      </c>
      <c r="R48" s="20" t="s">
        <v>84</v>
      </c>
      <c r="S48" s="20" t="s">
        <v>89</v>
      </c>
      <c r="T48" s="20">
        <v>269</v>
      </c>
      <c r="U48" s="20" t="s">
        <v>113</v>
      </c>
      <c r="V48" s="149">
        <f t="shared" si="4"/>
        <v>8.0699999999999994E-2</v>
      </c>
      <c r="W48" s="20"/>
      <c r="X48" s="20">
        <f>[3]REFERENCE!$E$37</f>
        <v>0.59279999999999999</v>
      </c>
      <c r="Y48" s="21">
        <f t="shared" si="5"/>
        <v>0.1594632</v>
      </c>
      <c r="Z48" s="81"/>
      <c r="AB48" s="29">
        <v>45</v>
      </c>
      <c r="AC48" s="30"/>
      <c r="AD48" s="31"/>
      <c r="AE48" s="32"/>
      <c r="AF48" s="20"/>
      <c r="AG48" s="33"/>
      <c r="AH48" s="20"/>
      <c r="AI48" s="20"/>
      <c r="AJ48" s="34"/>
      <c r="AK48" s="21"/>
      <c r="AM48" s="16">
        <v>45</v>
      </c>
      <c r="AN48" s="147">
        <v>45350</v>
      </c>
      <c r="AO48" s="20" t="s">
        <v>49</v>
      </c>
      <c r="AP48" s="157">
        <v>25000</v>
      </c>
      <c r="AQ48" s="20" t="s">
        <v>71</v>
      </c>
      <c r="AR48" s="20" t="s">
        <v>40</v>
      </c>
      <c r="AS48" s="20" t="s">
        <v>114</v>
      </c>
      <c r="AT48" s="49">
        <v>3447</v>
      </c>
      <c r="AU48" s="36">
        <v>6383.84</v>
      </c>
      <c r="AV48" s="35">
        <f>[3]REFERENCE!$E$39</f>
        <v>8.3999999999999995E-3</v>
      </c>
      <c r="AW48" s="37">
        <f t="shared" si="2"/>
        <v>1.3406064</v>
      </c>
      <c r="AY48" s="16"/>
      <c r="AZ48" s="43"/>
      <c r="BA48" s="20"/>
      <c r="BB48" s="44"/>
      <c r="BC48" s="20"/>
      <c r="BD48" s="20"/>
      <c r="BE48" s="35"/>
      <c r="BF48" s="20"/>
      <c r="BG48" s="41"/>
    </row>
    <row r="49" spans="1:59" ht="16.5" thickBot="1" x14ac:dyDescent="0.45">
      <c r="A49" s="60" t="s">
        <v>60</v>
      </c>
      <c r="B49" s="61"/>
      <c r="C49" s="61"/>
      <c r="D49" s="62">
        <f>SUM(D4:D48)</f>
        <v>117106.01</v>
      </c>
      <c r="E49" s="63"/>
      <c r="F49" s="63"/>
      <c r="G49" s="62">
        <f>SUM(G4:G48)</f>
        <v>5131</v>
      </c>
      <c r="H49" s="62">
        <f>SUM(H4:H48)</f>
        <v>4015.9345399999997</v>
      </c>
      <c r="I49" s="63"/>
      <c r="J49" s="63"/>
      <c r="K49" s="63"/>
      <c r="L49" s="63">
        <f>SUM(L4:L48)</f>
        <v>2.3806459953119998</v>
      </c>
      <c r="M49" s="160"/>
      <c r="N49" s="20">
        <v>46</v>
      </c>
      <c r="O49" s="147">
        <v>45351</v>
      </c>
      <c r="P49" s="20" t="s">
        <v>92</v>
      </c>
      <c r="Q49" s="20">
        <v>11340</v>
      </c>
      <c r="R49" s="20" t="s">
        <v>84</v>
      </c>
      <c r="S49" s="20" t="s">
        <v>85</v>
      </c>
      <c r="T49" s="20">
        <v>51</v>
      </c>
      <c r="U49" s="20" t="s">
        <v>113</v>
      </c>
      <c r="V49" s="149">
        <f t="shared" si="4"/>
        <v>1.5299999999999999E-2</v>
      </c>
      <c r="W49" s="20"/>
      <c r="X49" s="20">
        <f>[3]REFERENCE!$E$37</f>
        <v>0.59279999999999999</v>
      </c>
      <c r="Y49" s="21">
        <f t="shared" si="5"/>
        <v>3.0232800000000001E-2</v>
      </c>
      <c r="Z49" s="160"/>
      <c r="AB49" s="29">
        <v>46</v>
      </c>
      <c r="AC49" s="30"/>
      <c r="AD49" s="31"/>
      <c r="AE49" s="32"/>
      <c r="AF49" s="20"/>
      <c r="AG49" s="33"/>
      <c r="AH49" s="20"/>
      <c r="AI49" s="64"/>
      <c r="AJ49" s="34"/>
      <c r="AK49" s="21"/>
      <c r="AM49" s="16">
        <v>46</v>
      </c>
      <c r="AN49" s="147">
        <v>45351</v>
      </c>
      <c r="AO49" s="20" t="s">
        <v>92</v>
      </c>
      <c r="AP49" s="157">
        <v>11340</v>
      </c>
      <c r="AQ49" s="20" t="s">
        <v>34</v>
      </c>
      <c r="AR49" s="20" t="s">
        <v>97</v>
      </c>
      <c r="AS49" s="20" t="s">
        <v>114</v>
      </c>
      <c r="AT49" s="51">
        <v>9036</v>
      </c>
      <c r="AU49" s="36">
        <v>16734.672000000002</v>
      </c>
      <c r="AV49" s="35">
        <f>[3]REFERENCE!$E$39</f>
        <v>8.3999999999999995E-3</v>
      </c>
      <c r="AW49" s="37">
        <f t="shared" si="2"/>
        <v>1.594077916032</v>
      </c>
      <c r="AY49" s="164" t="s">
        <v>60</v>
      </c>
      <c r="AZ49" s="165"/>
      <c r="BA49" s="165"/>
      <c r="BB49" s="165"/>
      <c r="BC49" s="165"/>
      <c r="BD49" s="165"/>
      <c r="BE49" s="165"/>
      <c r="BF49" s="165"/>
      <c r="BG49" s="66">
        <f>SUM(BG4:BG48)</f>
        <v>0</v>
      </c>
    </row>
    <row r="50" spans="1:59" ht="16" x14ac:dyDescent="0.4">
      <c r="N50" s="20">
        <v>47</v>
      </c>
      <c r="O50" s="147">
        <v>45351</v>
      </c>
      <c r="P50" s="20" t="s">
        <v>92</v>
      </c>
      <c r="Q50" s="20">
        <v>11340</v>
      </c>
      <c r="R50" s="20" t="s">
        <v>84</v>
      </c>
      <c r="S50" s="20" t="s">
        <v>85</v>
      </c>
      <c r="T50" s="20">
        <v>51</v>
      </c>
      <c r="U50" s="20" t="s">
        <v>113</v>
      </c>
      <c r="V50" s="149">
        <f t="shared" si="4"/>
        <v>1.5299999999999999E-2</v>
      </c>
      <c r="W50" s="20"/>
      <c r="X50" s="20">
        <f>[3]REFERENCE!$E$37</f>
        <v>0.59279999999999999</v>
      </c>
      <c r="Y50" s="21">
        <f t="shared" si="5"/>
        <v>3.0232800000000001E-2</v>
      </c>
      <c r="AB50" s="29">
        <v>47</v>
      </c>
      <c r="AC50" s="30"/>
      <c r="AD50" s="46"/>
      <c r="AE50" s="32"/>
      <c r="AF50" s="20"/>
      <c r="AG50" s="33"/>
      <c r="AH50" s="20"/>
      <c r="AJ50" s="34"/>
      <c r="AK50" s="21"/>
      <c r="AM50" s="16">
        <v>47</v>
      </c>
      <c r="AN50" s="147">
        <v>45351</v>
      </c>
      <c r="AO50" s="20" t="s">
        <v>92</v>
      </c>
      <c r="AP50" s="157">
        <v>11340</v>
      </c>
      <c r="AQ50" s="20" t="s">
        <v>34</v>
      </c>
      <c r="AR50" s="20" t="s">
        <v>97</v>
      </c>
      <c r="AS50" s="20" t="s">
        <v>114</v>
      </c>
      <c r="AT50" s="51">
        <v>9036</v>
      </c>
      <c r="AU50" s="36">
        <v>16734.672000000002</v>
      </c>
      <c r="AV50" s="35">
        <f>[3]REFERENCE!$E$39</f>
        <v>8.3999999999999995E-3</v>
      </c>
      <c r="AW50" s="37">
        <f t="shared" si="2"/>
        <v>1.594077916032</v>
      </c>
    </row>
    <row r="51" spans="1:59" ht="16" x14ac:dyDescent="0.4">
      <c r="N51" s="20">
        <v>48</v>
      </c>
      <c r="O51" s="147">
        <v>45353</v>
      </c>
      <c r="P51" s="20" t="s">
        <v>47</v>
      </c>
      <c r="Q51" s="20">
        <v>24947.999999999996</v>
      </c>
      <c r="R51" s="20" t="s">
        <v>84</v>
      </c>
      <c r="S51" s="20" t="s">
        <v>85</v>
      </c>
      <c r="T51" s="20">
        <v>51</v>
      </c>
      <c r="U51" s="20" t="s">
        <v>113</v>
      </c>
      <c r="V51" s="149">
        <f t="shared" si="4"/>
        <v>1.5299999999999999E-2</v>
      </c>
      <c r="W51" s="20"/>
      <c r="X51" s="20">
        <f>[3]REFERENCE!$E$37</f>
        <v>0.59279999999999999</v>
      </c>
      <c r="Y51" s="21">
        <f t="shared" si="5"/>
        <v>3.0232800000000001E-2</v>
      </c>
      <c r="AB51" s="29">
        <v>48</v>
      </c>
      <c r="AC51" s="30"/>
      <c r="AD51" s="46"/>
      <c r="AE51" s="32"/>
      <c r="AF51" s="20"/>
      <c r="AG51" s="33"/>
      <c r="AH51" s="20"/>
      <c r="AJ51" s="34"/>
      <c r="AK51" s="21"/>
      <c r="AM51" s="16">
        <v>48</v>
      </c>
      <c r="AN51" s="147">
        <v>45353</v>
      </c>
      <c r="AO51" s="20" t="s">
        <v>47</v>
      </c>
      <c r="AP51" s="157">
        <v>24947.999999999996</v>
      </c>
      <c r="AQ51" s="20" t="s">
        <v>34</v>
      </c>
      <c r="AR51" s="20" t="s">
        <v>97</v>
      </c>
      <c r="AS51" s="20" t="s">
        <v>114</v>
      </c>
      <c r="AT51" s="51">
        <v>9036</v>
      </c>
      <c r="AU51" s="36">
        <v>16734.672000000002</v>
      </c>
      <c r="AV51" s="35">
        <f>[3]REFERENCE!$E$39</f>
        <v>8.3999999999999995E-3</v>
      </c>
      <c r="AW51" s="37">
        <f t="shared" si="2"/>
        <v>3.5069714152703999</v>
      </c>
    </row>
    <row r="52" spans="1:59" ht="16.5" thickBot="1" x14ac:dyDescent="0.45">
      <c r="N52" s="20">
        <v>49</v>
      </c>
      <c r="O52" s="147">
        <v>45364</v>
      </c>
      <c r="P52" s="20" t="s">
        <v>49</v>
      </c>
      <c r="Q52" s="20">
        <v>25000</v>
      </c>
      <c r="R52" s="20" t="s">
        <v>84</v>
      </c>
      <c r="S52" s="20" t="s">
        <v>89</v>
      </c>
      <c r="T52" s="20">
        <v>269</v>
      </c>
      <c r="U52" s="20" t="s">
        <v>113</v>
      </c>
      <c r="V52" s="149">
        <f t="shared" si="4"/>
        <v>8.0699999999999994E-2</v>
      </c>
      <c r="W52" s="20"/>
      <c r="X52" s="20">
        <f>[3]REFERENCE!$E$37</f>
        <v>0.59279999999999999</v>
      </c>
      <c r="Y52" s="21">
        <f t="shared" si="5"/>
        <v>0.1594632</v>
      </c>
      <c r="AB52" s="29">
        <v>49</v>
      </c>
      <c r="AC52" s="30"/>
      <c r="AD52" s="31"/>
      <c r="AE52" s="32"/>
      <c r="AF52" s="20"/>
      <c r="AG52" s="33"/>
      <c r="AH52" s="20"/>
      <c r="AJ52" s="34"/>
      <c r="AK52" s="21"/>
      <c r="AM52" s="16">
        <v>49</v>
      </c>
      <c r="AN52" s="147">
        <v>45364</v>
      </c>
      <c r="AO52" s="20" t="s">
        <v>49</v>
      </c>
      <c r="AP52" s="157">
        <v>25000</v>
      </c>
      <c r="AQ52" s="20" t="s">
        <v>71</v>
      </c>
      <c r="AR52" s="20" t="s">
        <v>40</v>
      </c>
      <c r="AS52" s="20" t="s">
        <v>114</v>
      </c>
      <c r="AT52" s="49">
        <v>3447</v>
      </c>
      <c r="AU52" s="36">
        <v>6383.84</v>
      </c>
      <c r="AV52" s="35">
        <f>[3]REFERENCE!$E$39</f>
        <v>8.3999999999999995E-3</v>
      </c>
      <c r="AW52" s="37">
        <f t="shared" si="2"/>
        <v>1.3406064</v>
      </c>
    </row>
    <row r="53" spans="1:59" ht="16.5" thickBot="1" x14ac:dyDescent="0.45">
      <c r="B53" s="68" t="s">
        <v>62</v>
      </c>
      <c r="C53" s="69"/>
      <c r="D53" s="70">
        <f>L49+Y126+AK74+AW85+BG49</f>
        <v>146.6002238962767</v>
      </c>
      <c r="N53" s="20">
        <v>50</v>
      </c>
      <c r="O53" s="147">
        <v>45372</v>
      </c>
      <c r="P53" s="20" t="s">
        <v>46</v>
      </c>
      <c r="Q53" s="20">
        <v>24948</v>
      </c>
      <c r="R53" s="20" t="s">
        <v>84</v>
      </c>
      <c r="S53" s="20" t="s">
        <v>85</v>
      </c>
      <c r="T53" s="20">
        <v>51</v>
      </c>
      <c r="U53" s="20" t="s">
        <v>113</v>
      </c>
      <c r="V53" s="149">
        <f t="shared" si="4"/>
        <v>1.5299999999999999E-2</v>
      </c>
      <c r="W53" s="20"/>
      <c r="X53" s="20">
        <f>[3]REFERENCE!$E$37</f>
        <v>0.59279999999999999</v>
      </c>
      <c r="Y53" s="21">
        <f t="shared" si="5"/>
        <v>3.0232800000000001E-2</v>
      </c>
      <c r="AB53" s="29">
        <v>50</v>
      </c>
      <c r="AC53" s="30"/>
      <c r="AD53" s="31"/>
      <c r="AE53" s="32"/>
      <c r="AF53" s="20"/>
      <c r="AG53" s="33"/>
      <c r="AH53" s="20"/>
      <c r="AJ53" s="34"/>
      <c r="AK53" s="21"/>
      <c r="AM53" s="16">
        <v>50</v>
      </c>
      <c r="AN53" s="147">
        <v>45372</v>
      </c>
      <c r="AO53" s="20" t="s">
        <v>46</v>
      </c>
      <c r="AP53" s="157">
        <v>24948</v>
      </c>
      <c r="AQ53" s="20" t="s">
        <v>34</v>
      </c>
      <c r="AR53" s="20" t="s">
        <v>97</v>
      </c>
      <c r="AS53" s="20" t="s">
        <v>114</v>
      </c>
      <c r="AT53" s="51">
        <v>9036</v>
      </c>
      <c r="AU53" s="36">
        <v>16734.672000000002</v>
      </c>
      <c r="AV53" s="35">
        <f>[3]REFERENCE!$E$39</f>
        <v>8.3999999999999995E-3</v>
      </c>
      <c r="AW53" s="37">
        <f t="shared" si="2"/>
        <v>3.5069714152704003</v>
      </c>
    </row>
    <row r="54" spans="1:59" ht="16" x14ac:dyDescent="0.4">
      <c r="N54" s="20">
        <v>51</v>
      </c>
      <c r="O54" s="147">
        <v>45381</v>
      </c>
      <c r="P54" s="20" t="s">
        <v>49</v>
      </c>
      <c r="Q54" s="20">
        <v>25000</v>
      </c>
      <c r="R54" s="20" t="s">
        <v>84</v>
      </c>
      <c r="S54" s="20" t="s">
        <v>89</v>
      </c>
      <c r="T54" s="20">
        <v>269</v>
      </c>
      <c r="U54" s="20" t="s">
        <v>113</v>
      </c>
      <c r="V54" s="149">
        <f t="shared" si="4"/>
        <v>8.0699999999999994E-2</v>
      </c>
      <c r="W54" s="20"/>
      <c r="X54" s="20">
        <f>[3]REFERENCE!$E$37</f>
        <v>0.59279999999999999</v>
      </c>
      <c r="Y54" s="21">
        <f t="shared" si="5"/>
        <v>0.1594632</v>
      </c>
      <c r="AB54" s="29">
        <v>51</v>
      </c>
      <c r="AC54" s="30"/>
      <c r="AD54" s="31"/>
      <c r="AE54" s="32"/>
      <c r="AF54" s="20"/>
      <c r="AG54" s="33"/>
      <c r="AH54" s="20"/>
      <c r="AJ54" s="34"/>
      <c r="AK54" s="21"/>
      <c r="AM54" s="16">
        <v>51</v>
      </c>
      <c r="AN54" s="147">
        <v>45381</v>
      </c>
      <c r="AO54" s="20" t="s">
        <v>49</v>
      </c>
      <c r="AP54" s="157">
        <v>25000</v>
      </c>
      <c r="AQ54" s="20" t="s">
        <v>71</v>
      </c>
      <c r="AR54" s="20" t="s">
        <v>40</v>
      </c>
      <c r="AS54" s="20" t="s">
        <v>114</v>
      </c>
      <c r="AT54" s="49">
        <v>3447</v>
      </c>
      <c r="AU54" s="36">
        <v>6383.84</v>
      </c>
      <c r="AV54" s="35">
        <f>[3]REFERENCE!$E$39</f>
        <v>8.3999999999999995E-3</v>
      </c>
      <c r="AW54" s="37">
        <f t="shared" si="2"/>
        <v>1.3406064</v>
      </c>
    </row>
    <row r="55" spans="1:59" ht="16" x14ac:dyDescent="0.4">
      <c r="N55" s="20">
        <v>52</v>
      </c>
      <c r="O55" s="147">
        <v>45382</v>
      </c>
      <c r="P55" s="20" t="s">
        <v>47</v>
      </c>
      <c r="Q55" s="20">
        <v>24946.9</v>
      </c>
      <c r="R55" s="20" t="s">
        <v>84</v>
      </c>
      <c r="S55" s="20" t="s">
        <v>85</v>
      </c>
      <c r="T55" s="20">
        <v>51</v>
      </c>
      <c r="U55" s="20" t="s">
        <v>113</v>
      </c>
      <c r="V55" s="149">
        <f t="shared" si="4"/>
        <v>1.5299999999999999E-2</v>
      </c>
      <c r="W55" s="20"/>
      <c r="X55" s="20">
        <f>[3]REFERENCE!$E$37</f>
        <v>0.59279999999999999</v>
      </c>
      <c r="Y55" s="21">
        <f t="shared" si="5"/>
        <v>3.0232800000000001E-2</v>
      </c>
      <c r="AB55" s="29">
        <v>52</v>
      </c>
      <c r="AC55" s="30"/>
      <c r="AD55" s="31"/>
      <c r="AE55" s="32"/>
      <c r="AF55" s="20"/>
      <c r="AG55" s="33"/>
      <c r="AH55" s="20"/>
      <c r="AJ55" s="34"/>
      <c r="AK55" s="21"/>
      <c r="AM55" s="16">
        <v>52</v>
      </c>
      <c r="AN55" s="147">
        <v>45382</v>
      </c>
      <c r="AO55" s="20" t="s">
        <v>47</v>
      </c>
      <c r="AP55" s="157">
        <v>24946.9</v>
      </c>
      <c r="AQ55" s="20" t="s">
        <v>34</v>
      </c>
      <c r="AR55" s="20" t="s">
        <v>97</v>
      </c>
      <c r="AS55" s="20" t="s">
        <v>114</v>
      </c>
      <c r="AT55" s="51">
        <v>9036</v>
      </c>
      <c r="AU55" s="36">
        <v>16734.672000000002</v>
      </c>
      <c r="AV55" s="35">
        <f>[3]REFERENCE!$E$39</f>
        <v>8.3999999999999995E-3</v>
      </c>
      <c r="AW55" s="37">
        <f t="shared" si="2"/>
        <v>3.5068167869011204</v>
      </c>
    </row>
    <row r="56" spans="1:59" ht="16" x14ac:dyDescent="0.4">
      <c r="N56" s="20">
        <v>53</v>
      </c>
      <c r="O56" s="147">
        <v>45382</v>
      </c>
      <c r="P56" s="20" t="s">
        <v>46</v>
      </c>
      <c r="Q56" s="20">
        <v>11340</v>
      </c>
      <c r="R56" s="20" t="s">
        <v>84</v>
      </c>
      <c r="S56" s="20" t="s">
        <v>85</v>
      </c>
      <c r="T56" s="20">
        <v>51</v>
      </c>
      <c r="U56" s="20" t="s">
        <v>113</v>
      </c>
      <c r="V56" s="149">
        <f t="shared" si="4"/>
        <v>1.5299999999999999E-2</v>
      </c>
      <c r="W56" s="20"/>
      <c r="X56" s="20">
        <f>[3]REFERENCE!$E$37</f>
        <v>0.59279999999999999</v>
      </c>
      <c r="Y56" s="21">
        <f t="shared" si="5"/>
        <v>3.0232800000000001E-2</v>
      </c>
      <c r="AB56" s="29">
        <v>53</v>
      </c>
      <c r="AC56" s="30"/>
      <c r="AD56" s="31"/>
      <c r="AE56" s="32"/>
      <c r="AF56" s="20"/>
      <c r="AG56" s="33"/>
      <c r="AH56" s="20"/>
      <c r="AJ56" s="34"/>
      <c r="AK56" s="21"/>
      <c r="AM56" s="16">
        <v>53</v>
      </c>
      <c r="AN56" s="147">
        <v>45382</v>
      </c>
      <c r="AO56" s="20" t="s">
        <v>46</v>
      </c>
      <c r="AP56" s="157">
        <v>11340</v>
      </c>
      <c r="AQ56" s="20" t="s">
        <v>34</v>
      </c>
      <c r="AR56" s="20" t="s">
        <v>97</v>
      </c>
      <c r="AS56" s="20" t="s">
        <v>114</v>
      </c>
      <c r="AT56" s="51">
        <v>9036</v>
      </c>
      <c r="AU56" s="36">
        <v>16734.672000000002</v>
      </c>
      <c r="AV56" s="35">
        <f>[3]REFERENCE!$E$39</f>
        <v>8.3999999999999995E-3</v>
      </c>
      <c r="AW56" s="37">
        <f t="shared" si="2"/>
        <v>1.594077916032</v>
      </c>
    </row>
    <row r="57" spans="1:59" ht="16" x14ac:dyDescent="0.4">
      <c r="A57" t="s">
        <v>107</v>
      </c>
      <c r="B57" s="71"/>
      <c r="N57" s="20">
        <v>54</v>
      </c>
      <c r="O57" s="147">
        <v>45382</v>
      </c>
      <c r="P57" s="20" t="s">
        <v>99</v>
      </c>
      <c r="Q57" s="20">
        <v>12746.16</v>
      </c>
      <c r="R57" s="20" t="s">
        <v>84</v>
      </c>
      <c r="S57" s="20" t="s">
        <v>85</v>
      </c>
      <c r="T57" s="20">
        <v>51</v>
      </c>
      <c r="U57" s="20" t="s">
        <v>113</v>
      </c>
      <c r="V57" s="149">
        <f t="shared" si="4"/>
        <v>1.5299999999999999E-2</v>
      </c>
      <c r="W57" s="20"/>
      <c r="X57" s="20">
        <f>[3]REFERENCE!$E$37</f>
        <v>0.59279999999999999</v>
      </c>
      <c r="Y57" s="21">
        <f t="shared" si="5"/>
        <v>3.0232800000000001E-2</v>
      </c>
      <c r="AB57" s="29">
        <v>54</v>
      </c>
      <c r="AC57" s="30"/>
      <c r="AD57" s="31"/>
      <c r="AE57" s="32"/>
      <c r="AF57" s="20"/>
      <c r="AG57" s="33"/>
      <c r="AH57" s="20"/>
      <c r="AJ57" s="34"/>
      <c r="AK57" s="21"/>
      <c r="AM57" s="16">
        <v>54</v>
      </c>
      <c r="AN57" s="147">
        <v>45382</v>
      </c>
      <c r="AO57" s="20" t="s">
        <v>99</v>
      </c>
      <c r="AP57" s="157">
        <v>12746.16</v>
      </c>
      <c r="AQ57" s="20" t="s">
        <v>34</v>
      </c>
      <c r="AR57" s="20" t="s">
        <v>97</v>
      </c>
      <c r="AS57" s="20" t="s">
        <v>114</v>
      </c>
      <c r="AT57" s="51">
        <v>9036</v>
      </c>
      <c r="AU57" s="36">
        <v>16734.672000000002</v>
      </c>
      <c r="AV57" s="35">
        <f>[3]REFERENCE!$E$39</f>
        <v>8.3999999999999995E-3</v>
      </c>
      <c r="AW57" s="37">
        <f t="shared" si="2"/>
        <v>1.7917435776199679</v>
      </c>
    </row>
    <row r="58" spans="1:59" ht="16" x14ac:dyDescent="0.4">
      <c r="A58" t="s">
        <v>112</v>
      </c>
      <c r="B58" s="43"/>
      <c r="N58" s="20">
        <v>55</v>
      </c>
      <c r="O58" s="147">
        <v>45398</v>
      </c>
      <c r="P58" s="20" t="s">
        <v>100</v>
      </c>
      <c r="Q58" s="20">
        <v>2500</v>
      </c>
      <c r="R58" s="20" t="s">
        <v>84</v>
      </c>
      <c r="S58" s="20" t="s">
        <v>85</v>
      </c>
      <c r="T58" s="20">
        <v>51</v>
      </c>
      <c r="U58" s="20" t="s">
        <v>113</v>
      </c>
      <c r="V58" s="149">
        <f t="shared" si="4"/>
        <v>1.5299999999999999E-2</v>
      </c>
      <c r="W58" s="20"/>
      <c r="X58" s="20">
        <f>[3]REFERENCE!$E$37</f>
        <v>0.59279999999999999</v>
      </c>
      <c r="Y58" s="21">
        <f t="shared" si="5"/>
        <v>3.0232800000000001E-2</v>
      </c>
      <c r="AB58" s="29">
        <v>55</v>
      </c>
      <c r="AC58" s="30"/>
      <c r="AD58" s="31"/>
      <c r="AE58" s="32"/>
      <c r="AF58" s="20"/>
      <c r="AG58" s="33"/>
      <c r="AH58" s="20"/>
      <c r="AJ58" s="34"/>
      <c r="AK58" s="21"/>
      <c r="AM58" s="16">
        <v>55</v>
      </c>
      <c r="AN58" s="147">
        <v>45398</v>
      </c>
      <c r="AO58" s="20" t="s">
        <v>100</v>
      </c>
      <c r="AP58" s="157">
        <v>2500</v>
      </c>
      <c r="AQ58" s="20" t="s">
        <v>34</v>
      </c>
      <c r="AR58" s="20" t="s">
        <v>86</v>
      </c>
      <c r="AS58" s="20" t="s">
        <v>114</v>
      </c>
      <c r="AT58" s="35">
        <v>7082</v>
      </c>
      <c r="AU58" s="36">
        <v>13115.86</v>
      </c>
      <c r="AV58" s="35">
        <f>[3]REFERENCE!$E$39</f>
        <v>8.3999999999999995E-3</v>
      </c>
      <c r="AW58" s="37">
        <f t="shared" si="2"/>
        <v>0.27543306000000001</v>
      </c>
    </row>
    <row r="59" spans="1:59" ht="16" x14ac:dyDescent="0.4">
      <c r="A59" t="s">
        <v>109</v>
      </c>
      <c r="B59" s="43"/>
      <c r="N59" s="20">
        <v>56</v>
      </c>
      <c r="O59" s="147">
        <v>45407</v>
      </c>
      <c r="P59" s="20" t="s">
        <v>44</v>
      </c>
      <c r="Q59" s="20">
        <v>24948</v>
      </c>
      <c r="R59" s="20" t="s">
        <v>84</v>
      </c>
      <c r="S59" s="20" t="s">
        <v>85</v>
      </c>
      <c r="T59" s="20">
        <v>51</v>
      </c>
      <c r="U59" s="20" t="s">
        <v>113</v>
      </c>
      <c r="V59" s="149">
        <f t="shared" si="4"/>
        <v>1.5299999999999999E-2</v>
      </c>
      <c r="W59" s="20"/>
      <c r="X59" s="20">
        <f>[3]REFERENCE!$E$37</f>
        <v>0.59279999999999999</v>
      </c>
      <c r="Y59" s="21">
        <f t="shared" si="5"/>
        <v>3.0232800000000001E-2</v>
      </c>
      <c r="AB59" s="29">
        <v>56</v>
      </c>
      <c r="AC59" s="30"/>
      <c r="AD59" s="31"/>
      <c r="AE59" s="32"/>
      <c r="AF59" s="20"/>
      <c r="AG59" s="33"/>
      <c r="AH59" s="20"/>
      <c r="AJ59" s="34"/>
      <c r="AK59" s="21"/>
      <c r="AM59" s="16">
        <v>56</v>
      </c>
      <c r="AN59" s="147">
        <v>45407</v>
      </c>
      <c r="AO59" s="20" t="s">
        <v>44</v>
      </c>
      <c r="AP59" s="157">
        <v>24948</v>
      </c>
      <c r="AQ59" s="20" t="s">
        <v>34</v>
      </c>
      <c r="AR59" s="20" t="s">
        <v>97</v>
      </c>
      <c r="AS59" s="20" t="s">
        <v>114</v>
      </c>
      <c r="AT59" s="51">
        <v>9036</v>
      </c>
      <c r="AU59" s="36">
        <v>16734.672000000002</v>
      </c>
      <c r="AV59" s="35">
        <f>[3]REFERENCE!$E$39</f>
        <v>8.3999999999999995E-3</v>
      </c>
      <c r="AW59" s="37">
        <f t="shared" si="2"/>
        <v>3.5069714152704003</v>
      </c>
    </row>
    <row r="60" spans="1:59" ht="16" x14ac:dyDescent="0.4">
      <c r="A60" t="s">
        <v>110</v>
      </c>
      <c r="B60" s="43"/>
      <c r="N60" s="20">
        <v>57</v>
      </c>
      <c r="O60" s="147">
        <v>45409</v>
      </c>
      <c r="P60" s="20" t="s">
        <v>92</v>
      </c>
      <c r="Q60" s="20">
        <v>24948</v>
      </c>
      <c r="R60" s="20" t="s">
        <v>84</v>
      </c>
      <c r="S60" s="20" t="s">
        <v>85</v>
      </c>
      <c r="T60" s="20">
        <v>51</v>
      </c>
      <c r="U60" s="20" t="s">
        <v>113</v>
      </c>
      <c r="V60" s="149">
        <f t="shared" si="4"/>
        <v>1.5299999999999999E-2</v>
      </c>
      <c r="W60" s="20"/>
      <c r="X60" s="20">
        <f>[3]REFERENCE!$E$37</f>
        <v>0.59279999999999999</v>
      </c>
      <c r="Y60" s="21">
        <f t="shared" si="5"/>
        <v>3.0232800000000001E-2</v>
      </c>
      <c r="AB60" s="29">
        <v>57</v>
      </c>
      <c r="AC60" s="30"/>
      <c r="AD60" s="31"/>
      <c r="AE60" s="32"/>
      <c r="AF60" s="20"/>
      <c r="AG60" s="33"/>
      <c r="AH60" s="20"/>
      <c r="AJ60" s="34"/>
      <c r="AK60" s="21"/>
      <c r="AM60" s="16">
        <v>57</v>
      </c>
      <c r="AN60" s="147">
        <v>45409</v>
      </c>
      <c r="AO60" s="20" t="s">
        <v>92</v>
      </c>
      <c r="AP60" s="157">
        <v>24948</v>
      </c>
      <c r="AQ60" s="20" t="s">
        <v>34</v>
      </c>
      <c r="AR60" s="20" t="s">
        <v>97</v>
      </c>
      <c r="AS60" s="20" t="s">
        <v>114</v>
      </c>
      <c r="AT60" s="51">
        <v>9036</v>
      </c>
      <c r="AU60" s="36">
        <v>16734.672000000002</v>
      </c>
      <c r="AV60" s="35">
        <f>[3]REFERENCE!$E$39</f>
        <v>8.3999999999999995E-3</v>
      </c>
      <c r="AW60" s="37">
        <f t="shared" si="2"/>
        <v>3.5069714152704003</v>
      </c>
    </row>
    <row r="61" spans="1:59" ht="16" x14ac:dyDescent="0.4">
      <c r="A61" t="s">
        <v>111</v>
      </c>
      <c r="B61" s="72"/>
      <c r="N61" s="20">
        <v>58</v>
      </c>
      <c r="O61" s="147">
        <v>45410</v>
      </c>
      <c r="P61" s="20" t="s">
        <v>47</v>
      </c>
      <c r="Q61" s="20">
        <v>24947.174999999999</v>
      </c>
      <c r="R61" s="20" t="s">
        <v>84</v>
      </c>
      <c r="S61" s="20" t="s">
        <v>85</v>
      </c>
      <c r="T61" s="20">
        <v>51</v>
      </c>
      <c r="U61" s="20" t="s">
        <v>113</v>
      </c>
      <c r="V61" s="149">
        <f t="shared" si="4"/>
        <v>1.5299999999999999E-2</v>
      </c>
      <c r="W61" s="20"/>
      <c r="X61" s="20">
        <f>[3]REFERENCE!$E$37</f>
        <v>0.59279999999999999</v>
      </c>
      <c r="Y61" s="21">
        <f t="shared" si="5"/>
        <v>3.0232800000000001E-2</v>
      </c>
      <c r="AB61" s="29">
        <v>58</v>
      </c>
      <c r="AC61" s="30"/>
      <c r="AD61" s="31"/>
      <c r="AE61" s="32"/>
      <c r="AF61" s="20"/>
      <c r="AG61" s="33"/>
      <c r="AH61" s="20"/>
      <c r="AJ61" s="34"/>
      <c r="AK61" s="21"/>
      <c r="AM61" s="16">
        <v>58</v>
      </c>
      <c r="AN61" s="147">
        <v>45410</v>
      </c>
      <c r="AO61" s="20" t="s">
        <v>47</v>
      </c>
      <c r="AP61" s="157">
        <v>24947.174999999999</v>
      </c>
      <c r="AQ61" s="20" t="s">
        <v>34</v>
      </c>
      <c r="AR61" s="20" t="s">
        <v>97</v>
      </c>
      <c r="AS61" s="20" t="s">
        <v>114</v>
      </c>
      <c r="AT61" s="51">
        <v>9036</v>
      </c>
      <c r="AU61" s="36">
        <v>16734.672000000002</v>
      </c>
      <c r="AV61" s="35">
        <f>[3]REFERENCE!$E$39</f>
        <v>8.3999999999999995E-3</v>
      </c>
      <c r="AW61" s="37">
        <f t="shared" si="2"/>
        <v>3.5068554439934405</v>
      </c>
    </row>
    <row r="62" spans="1:59" ht="16" x14ac:dyDescent="0.4">
      <c r="N62" s="20">
        <v>59</v>
      </c>
      <c r="O62" s="147">
        <v>45413</v>
      </c>
      <c r="P62" s="20" t="s">
        <v>46</v>
      </c>
      <c r="Q62" s="20">
        <v>24948</v>
      </c>
      <c r="R62" s="20" t="s">
        <v>84</v>
      </c>
      <c r="S62" s="20" t="s">
        <v>85</v>
      </c>
      <c r="T62" s="20">
        <v>51</v>
      </c>
      <c r="U62" s="20" t="s">
        <v>113</v>
      </c>
      <c r="V62" s="149">
        <f t="shared" si="4"/>
        <v>1.5299999999999999E-2</v>
      </c>
      <c r="W62" s="20"/>
      <c r="X62" s="20">
        <f>[3]REFERENCE!$E$37</f>
        <v>0.59279999999999999</v>
      </c>
      <c r="Y62" s="21">
        <f t="shared" si="5"/>
        <v>3.0232800000000001E-2</v>
      </c>
      <c r="AB62" s="29">
        <v>59</v>
      </c>
      <c r="AC62" s="30"/>
      <c r="AD62" s="31"/>
      <c r="AE62" s="32"/>
      <c r="AF62" s="20"/>
      <c r="AG62" s="33"/>
      <c r="AH62" s="20"/>
      <c r="AJ62" s="34"/>
      <c r="AK62" s="21"/>
      <c r="AM62" s="16">
        <v>59</v>
      </c>
      <c r="AN62" s="147">
        <v>45413</v>
      </c>
      <c r="AO62" s="20" t="s">
        <v>46</v>
      </c>
      <c r="AP62" s="157">
        <v>24948</v>
      </c>
      <c r="AQ62" s="20" t="s">
        <v>34</v>
      </c>
      <c r="AR62" s="20" t="s">
        <v>97</v>
      </c>
      <c r="AS62" s="20" t="s">
        <v>114</v>
      </c>
      <c r="AT62" s="51">
        <v>9036</v>
      </c>
      <c r="AU62" s="36">
        <v>16734.672000000002</v>
      </c>
      <c r="AV62" s="35">
        <f>[3]REFERENCE!$E$39</f>
        <v>8.3999999999999995E-3</v>
      </c>
      <c r="AW62" s="37">
        <f t="shared" si="2"/>
        <v>3.5069714152704003</v>
      </c>
    </row>
    <row r="63" spans="1:59" ht="16" x14ac:dyDescent="0.4">
      <c r="N63" s="20">
        <v>60</v>
      </c>
      <c r="O63" s="147">
        <v>45414</v>
      </c>
      <c r="P63" s="20" t="s">
        <v>54</v>
      </c>
      <c r="Q63" s="20">
        <v>80</v>
      </c>
      <c r="R63" s="20" t="s">
        <v>84</v>
      </c>
      <c r="S63" s="20" t="s">
        <v>89</v>
      </c>
      <c r="T63" s="20">
        <v>269</v>
      </c>
      <c r="U63" s="20" t="s">
        <v>113</v>
      </c>
      <c r="V63" s="149">
        <f t="shared" si="4"/>
        <v>8.0699999999999994E-2</v>
      </c>
      <c r="W63" s="20"/>
      <c r="X63" s="20">
        <f>[3]REFERENCE!$E$37</f>
        <v>0.59279999999999999</v>
      </c>
      <c r="Y63" s="21">
        <f t="shared" si="5"/>
        <v>0.1594632</v>
      </c>
      <c r="AB63" s="29">
        <v>60</v>
      </c>
      <c r="AC63" s="30"/>
      <c r="AD63" s="31"/>
      <c r="AE63" s="32"/>
      <c r="AF63" s="20"/>
      <c r="AG63" s="33"/>
      <c r="AH63" s="20"/>
      <c r="AJ63" s="34"/>
      <c r="AK63" s="21"/>
      <c r="AM63" s="16">
        <v>60</v>
      </c>
      <c r="AN63" s="147">
        <v>45414</v>
      </c>
      <c r="AO63" s="20" t="s">
        <v>54</v>
      </c>
      <c r="AP63" s="157">
        <v>80</v>
      </c>
      <c r="AQ63" s="20" t="s">
        <v>71</v>
      </c>
      <c r="AR63" s="20" t="s">
        <v>40</v>
      </c>
      <c r="AS63" s="20" t="s">
        <v>114</v>
      </c>
      <c r="AT63" s="49">
        <v>3447</v>
      </c>
      <c r="AU63" s="36">
        <v>6383.84</v>
      </c>
      <c r="AV63" s="35">
        <f>[3]REFERENCE!$E$39</f>
        <v>8.3999999999999995E-3</v>
      </c>
      <c r="AW63" s="37">
        <f t="shared" si="2"/>
        <v>4.2899404800000006E-3</v>
      </c>
    </row>
    <row r="64" spans="1:59" ht="16" x14ac:dyDescent="0.4">
      <c r="N64" s="20">
        <v>61</v>
      </c>
      <c r="O64" s="147">
        <v>45418</v>
      </c>
      <c r="P64" s="20" t="s">
        <v>49</v>
      </c>
      <c r="Q64" s="20">
        <v>25000</v>
      </c>
      <c r="R64" s="20" t="s">
        <v>84</v>
      </c>
      <c r="S64" s="20" t="s">
        <v>89</v>
      </c>
      <c r="T64" s="20">
        <v>269</v>
      </c>
      <c r="U64" s="20" t="s">
        <v>113</v>
      </c>
      <c r="V64" s="149">
        <f t="shared" si="4"/>
        <v>8.0699999999999994E-2</v>
      </c>
      <c r="W64" s="20"/>
      <c r="X64" s="20">
        <f>[3]REFERENCE!$E$37</f>
        <v>0.59279999999999999</v>
      </c>
      <c r="Y64" s="21">
        <f t="shared" si="5"/>
        <v>0.1594632</v>
      </c>
      <c r="AB64" s="29">
        <v>61</v>
      </c>
      <c r="AC64" s="30"/>
      <c r="AD64" s="31"/>
      <c r="AE64" s="32"/>
      <c r="AF64" s="20"/>
      <c r="AG64" s="33"/>
      <c r="AH64" s="20"/>
      <c r="AJ64" s="34"/>
      <c r="AK64" s="21"/>
      <c r="AM64" s="16">
        <v>61</v>
      </c>
      <c r="AN64" s="147">
        <v>45418</v>
      </c>
      <c r="AO64" s="20" t="s">
        <v>49</v>
      </c>
      <c r="AP64" s="157">
        <v>25000</v>
      </c>
      <c r="AQ64" s="20" t="s">
        <v>71</v>
      </c>
      <c r="AR64" s="20" t="s">
        <v>40</v>
      </c>
      <c r="AS64" s="20" t="s">
        <v>114</v>
      </c>
      <c r="AT64" s="49">
        <v>3447</v>
      </c>
      <c r="AU64" s="36">
        <v>6383.84</v>
      </c>
      <c r="AV64" s="35">
        <f>[3]REFERENCE!$E$39</f>
        <v>8.3999999999999995E-3</v>
      </c>
      <c r="AW64" s="37">
        <f t="shared" si="2"/>
        <v>1.3406064</v>
      </c>
    </row>
    <row r="65" spans="14:49" ht="16" x14ac:dyDescent="0.4">
      <c r="N65" s="20">
        <v>62</v>
      </c>
      <c r="O65" s="147">
        <v>45418</v>
      </c>
      <c r="P65" s="20" t="s">
        <v>54</v>
      </c>
      <c r="Q65" s="20">
        <v>400</v>
      </c>
      <c r="R65" s="20" t="s">
        <v>84</v>
      </c>
      <c r="S65" s="20" t="s">
        <v>89</v>
      </c>
      <c r="T65" s="20">
        <v>269</v>
      </c>
      <c r="U65" s="20" t="s">
        <v>113</v>
      </c>
      <c r="V65" s="149">
        <f t="shared" si="4"/>
        <v>8.0699999999999994E-2</v>
      </c>
      <c r="W65" s="20"/>
      <c r="X65" s="20">
        <f>[3]REFERENCE!$E$37</f>
        <v>0.59279999999999999</v>
      </c>
      <c r="Y65" s="21">
        <f t="shared" si="5"/>
        <v>0.1594632</v>
      </c>
      <c r="AB65" s="29">
        <v>62</v>
      </c>
      <c r="AC65" s="30"/>
      <c r="AD65" s="31"/>
      <c r="AE65" s="32"/>
      <c r="AF65" s="20"/>
      <c r="AG65" s="33"/>
      <c r="AH65" s="20"/>
      <c r="AJ65" s="34"/>
      <c r="AK65" s="21"/>
      <c r="AM65" s="16">
        <v>62</v>
      </c>
      <c r="AN65" s="147">
        <v>45418</v>
      </c>
      <c r="AO65" s="20" t="s">
        <v>54</v>
      </c>
      <c r="AP65" s="157">
        <v>400</v>
      </c>
      <c r="AQ65" s="20" t="s">
        <v>71</v>
      </c>
      <c r="AR65" s="20" t="s">
        <v>40</v>
      </c>
      <c r="AS65" s="20" t="s">
        <v>114</v>
      </c>
      <c r="AT65" s="49">
        <v>3447</v>
      </c>
      <c r="AU65" s="36">
        <v>6383.84</v>
      </c>
      <c r="AV65" s="35">
        <f>[3]REFERENCE!$E$39</f>
        <v>8.3999999999999995E-3</v>
      </c>
      <c r="AW65" s="37">
        <f t="shared" si="2"/>
        <v>2.1449702399999999E-2</v>
      </c>
    </row>
    <row r="66" spans="14:49" ht="16" x14ac:dyDescent="0.4">
      <c r="N66" s="20">
        <v>63</v>
      </c>
      <c r="O66" s="147">
        <v>45427</v>
      </c>
      <c r="P66" s="20" t="s">
        <v>54</v>
      </c>
      <c r="Q66" s="20">
        <v>180</v>
      </c>
      <c r="R66" s="20" t="s">
        <v>84</v>
      </c>
      <c r="S66" s="20" t="s">
        <v>89</v>
      </c>
      <c r="T66" s="20">
        <v>269</v>
      </c>
      <c r="U66" s="20" t="s">
        <v>113</v>
      </c>
      <c r="V66" s="149">
        <f t="shared" si="4"/>
        <v>8.0699999999999994E-2</v>
      </c>
      <c r="W66" s="20"/>
      <c r="X66" s="20">
        <f>[3]REFERENCE!$E$37</f>
        <v>0.59279999999999999</v>
      </c>
      <c r="Y66" s="21">
        <f t="shared" si="5"/>
        <v>0.1594632</v>
      </c>
      <c r="AB66" s="29">
        <v>63</v>
      </c>
      <c r="AC66" s="30"/>
      <c r="AD66" s="79"/>
      <c r="AE66" s="20"/>
      <c r="AF66" s="20"/>
      <c r="AG66" s="33"/>
      <c r="AH66" s="20"/>
      <c r="AJ66" s="34"/>
      <c r="AK66" s="21"/>
      <c r="AM66" s="16">
        <v>63</v>
      </c>
      <c r="AN66" s="147">
        <v>45427</v>
      </c>
      <c r="AO66" s="20" t="s">
        <v>54</v>
      </c>
      <c r="AP66" s="157">
        <v>180</v>
      </c>
      <c r="AQ66" s="20" t="s">
        <v>71</v>
      </c>
      <c r="AR66" s="20" t="s">
        <v>40</v>
      </c>
      <c r="AS66" s="20" t="s">
        <v>114</v>
      </c>
      <c r="AT66" s="49">
        <v>3447</v>
      </c>
      <c r="AU66" s="36">
        <v>6383.84</v>
      </c>
      <c r="AV66" s="35">
        <f>[3]REFERENCE!$E$39</f>
        <v>8.3999999999999995E-3</v>
      </c>
      <c r="AW66" s="37">
        <f t="shared" si="2"/>
        <v>9.6523660800000004E-3</v>
      </c>
    </row>
    <row r="67" spans="14:49" ht="16" x14ac:dyDescent="0.4">
      <c r="N67" s="20">
        <v>64</v>
      </c>
      <c r="O67" s="147">
        <v>45433</v>
      </c>
      <c r="P67" s="20" t="s">
        <v>48</v>
      </c>
      <c r="Q67" s="20">
        <v>24946.9</v>
      </c>
      <c r="R67" s="20" t="s">
        <v>84</v>
      </c>
      <c r="S67" s="20" t="s">
        <v>85</v>
      </c>
      <c r="T67" s="20">
        <v>51</v>
      </c>
      <c r="U67" s="20" t="s">
        <v>113</v>
      </c>
      <c r="V67" s="149">
        <f t="shared" si="4"/>
        <v>1.5299999999999999E-2</v>
      </c>
      <c r="W67" s="20"/>
      <c r="X67" s="20">
        <f>[3]REFERENCE!$E$37</f>
        <v>0.59279999999999999</v>
      </c>
      <c r="Y67" s="21">
        <f t="shared" si="5"/>
        <v>3.0232800000000001E-2</v>
      </c>
      <c r="AB67" s="29">
        <v>64</v>
      </c>
      <c r="AC67" s="30"/>
      <c r="AD67" s="79"/>
      <c r="AE67" s="20"/>
      <c r="AF67" s="20"/>
      <c r="AG67" s="33"/>
      <c r="AH67" s="20"/>
      <c r="AJ67" s="34"/>
      <c r="AK67" s="21"/>
      <c r="AM67" s="16">
        <v>64</v>
      </c>
      <c r="AN67" s="147">
        <v>45433</v>
      </c>
      <c r="AO67" s="20" t="s">
        <v>48</v>
      </c>
      <c r="AP67" s="157">
        <v>24946.9</v>
      </c>
      <c r="AQ67" s="20" t="s">
        <v>34</v>
      </c>
      <c r="AR67" s="20" t="s">
        <v>97</v>
      </c>
      <c r="AS67" s="20" t="s">
        <v>114</v>
      </c>
      <c r="AT67" s="51">
        <v>9036</v>
      </c>
      <c r="AU67" s="36">
        <v>16734.672000000002</v>
      </c>
      <c r="AV67" s="35">
        <f>[3]REFERENCE!$E$39</f>
        <v>8.3999999999999995E-3</v>
      </c>
      <c r="AW67" s="37">
        <f t="shared" si="2"/>
        <v>3.5068167869011204</v>
      </c>
    </row>
    <row r="68" spans="14:49" ht="16" x14ac:dyDescent="0.4">
      <c r="N68" s="20">
        <v>65</v>
      </c>
      <c r="O68" s="147">
        <v>45434</v>
      </c>
      <c r="P68" s="20" t="s">
        <v>54</v>
      </c>
      <c r="Q68" s="20">
        <v>140</v>
      </c>
      <c r="R68" s="20" t="s">
        <v>84</v>
      </c>
      <c r="S68" s="20" t="s">
        <v>89</v>
      </c>
      <c r="T68" s="20">
        <v>269</v>
      </c>
      <c r="U68" s="20" t="s">
        <v>113</v>
      </c>
      <c r="V68" s="149">
        <f t="shared" si="4"/>
        <v>8.0699999999999994E-2</v>
      </c>
      <c r="W68" s="20"/>
      <c r="X68" s="20">
        <f>[3]REFERENCE!$E$37</f>
        <v>0.59279999999999999</v>
      </c>
      <c r="Y68" s="21">
        <f t="shared" si="5"/>
        <v>0.1594632</v>
      </c>
      <c r="AB68" s="29">
        <v>65</v>
      </c>
      <c r="AC68" s="30"/>
      <c r="AD68" s="79"/>
      <c r="AE68" s="20"/>
      <c r="AF68" s="20"/>
      <c r="AG68" s="33"/>
      <c r="AH68" s="20"/>
      <c r="AJ68" s="34"/>
      <c r="AK68" s="21"/>
      <c r="AM68" s="16">
        <v>65</v>
      </c>
      <c r="AN68" s="147">
        <v>45434</v>
      </c>
      <c r="AO68" s="20" t="s">
        <v>54</v>
      </c>
      <c r="AP68" s="157">
        <v>140</v>
      </c>
      <c r="AQ68" s="20" t="s">
        <v>71</v>
      </c>
      <c r="AR68" s="20" t="s">
        <v>40</v>
      </c>
      <c r="AS68" s="20" t="s">
        <v>114</v>
      </c>
      <c r="AT68" s="49">
        <v>3447</v>
      </c>
      <c r="AU68" s="36">
        <v>6383.84</v>
      </c>
      <c r="AV68" s="35">
        <f>[3]REFERENCE!$E$39</f>
        <v>8.3999999999999995E-3</v>
      </c>
      <c r="AW68" s="37">
        <f t="shared" ref="AW68:AW86" si="6">AP68*AU68*AV68/10^6</f>
        <v>7.5073958399999993E-3</v>
      </c>
    </row>
    <row r="69" spans="14:49" ht="16" x14ac:dyDescent="0.4">
      <c r="N69" s="20">
        <v>66</v>
      </c>
      <c r="O69" s="147">
        <v>45439</v>
      </c>
      <c r="P69" s="20" t="s">
        <v>100</v>
      </c>
      <c r="Q69" s="20">
        <v>10000</v>
      </c>
      <c r="R69" s="20" t="s">
        <v>84</v>
      </c>
      <c r="S69" s="20" t="s">
        <v>85</v>
      </c>
      <c r="T69" s="20">
        <v>51</v>
      </c>
      <c r="U69" s="20" t="s">
        <v>113</v>
      </c>
      <c r="V69" s="149">
        <f t="shared" ref="V69:V125" si="7">T69*0.0003</f>
        <v>1.5299999999999999E-2</v>
      </c>
      <c r="W69" s="20"/>
      <c r="X69" s="20">
        <f>[3]REFERENCE!$E$37</f>
        <v>0.59279999999999999</v>
      </c>
      <c r="Y69" s="21">
        <f t="shared" ref="Y69:Y125" si="8">T69*X69/1000</f>
        <v>3.0232800000000001E-2</v>
      </c>
      <c r="AB69" s="29">
        <v>66</v>
      </c>
      <c r="AC69" s="30"/>
      <c r="AD69" s="79"/>
      <c r="AE69" s="20"/>
      <c r="AF69" s="20"/>
      <c r="AG69" s="33"/>
      <c r="AH69" s="20"/>
      <c r="AJ69" s="34"/>
      <c r="AK69" s="21"/>
      <c r="AM69" s="16">
        <v>66</v>
      </c>
      <c r="AN69" s="147">
        <v>45439</v>
      </c>
      <c r="AO69" s="20" t="s">
        <v>100</v>
      </c>
      <c r="AP69" s="157">
        <v>10000</v>
      </c>
      <c r="AQ69" s="20" t="s">
        <v>34</v>
      </c>
      <c r="AR69" s="20" t="s">
        <v>86</v>
      </c>
      <c r="AS69" s="20" t="s">
        <v>115</v>
      </c>
      <c r="AT69" s="35">
        <v>7082</v>
      </c>
      <c r="AU69" s="36">
        <v>13115.86</v>
      </c>
      <c r="AV69" s="35">
        <f>[3]REFERENCE!$E$39</f>
        <v>8.3999999999999995E-3</v>
      </c>
      <c r="AW69" s="37">
        <f t="shared" si="6"/>
        <v>1.10173224</v>
      </c>
    </row>
    <row r="70" spans="14:49" ht="16" x14ac:dyDescent="0.4">
      <c r="N70" s="20">
        <v>67</v>
      </c>
      <c r="O70" s="147">
        <v>45442</v>
      </c>
      <c r="P70" s="20" t="s">
        <v>54</v>
      </c>
      <c r="Q70" s="20">
        <v>300</v>
      </c>
      <c r="R70" s="20" t="s">
        <v>84</v>
      </c>
      <c r="S70" s="20" t="s">
        <v>89</v>
      </c>
      <c r="T70" s="20">
        <v>269</v>
      </c>
      <c r="U70" s="20" t="s">
        <v>113</v>
      </c>
      <c r="V70" s="149">
        <f t="shared" si="7"/>
        <v>8.0699999999999994E-2</v>
      </c>
      <c r="W70" s="20"/>
      <c r="X70" s="20">
        <f>[3]REFERENCE!$E$37</f>
        <v>0.59279999999999999</v>
      </c>
      <c r="Y70" s="21">
        <f t="shared" si="8"/>
        <v>0.1594632</v>
      </c>
      <c r="AB70" s="29">
        <v>67</v>
      </c>
      <c r="AC70" s="30"/>
      <c r="AD70" s="79"/>
      <c r="AE70" s="20"/>
      <c r="AF70" s="20"/>
      <c r="AG70" s="33"/>
      <c r="AH70" s="20"/>
      <c r="AJ70" s="34"/>
      <c r="AK70" s="21"/>
      <c r="AM70" s="16">
        <v>67</v>
      </c>
      <c r="AN70" s="147">
        <v>45442</v>
      </c>
      <c r="AO70" s="20" t="s">
        <v>54</v>
      </c>
      <c r="AP70" s="157">
        <v>300</v>
      </c>
      <c r="AQ70" s="20" t="s">
        <v>71</v>
      </c>
      <c r="AR70" s="20" t="s">
        <v>40</v>
      </c>
      <c r="AS70" s="20" t="s">
        <v>114</v>
      </c>
      <c r="AT70" s="49">
        <v>3447</v>
      </c>
      <c r="AU70" s="36">
        <v>6383.84</v>
      </c>
      <c r="AV70" s="35">
        <f>[3]REFERENCE!$E$39</f>
        <v>8.3999999999999995E-3</v>
      </c>
      <c r="AW70" s="37">
        <f t="shared" si="6"/>
        <v>1.6087276800000001E-2</v>
      </c>
    </row>
    <row r="71" spans="14:49" ht="16" x14ac:dyDescent="0.35">
      <c r="N71" s="20">
        <v>68</v>
      </c>
      <c r="O71" s="147">
        <v>45449</v>
      </c>
      <c r="P71" s="20" t="s">
        <v>102</v>
      </c>
      <c r="Q71" s="20">
        <v>100</v>
      </c>
      <c r="R71" s="20" t="s">
        <v>84</v>
      </c>
      <c r="S71" s="20" t="s">
        <v>85</v>
      </c>
      <c r="T71" s="20">
        <v>51</v>
      </c>
      <c r="U71" s="20" t="s">
        <v>113</v>
      </c>
      <c r="V71" s="149">
        <f t="shared" si="7"/>
        <v>1.5299999999999999E-2</v>
      </c>
      <c r="W71" s="20"/>
      <c r="X71" s="20">
        <f>[3]REFERENCE!$E$37</f>
        <v>0.59279999999999999</v>
      </c>
      <c r="Y71" s="21">
        <f t="shared" si="8"/>
        <v>3.0232800000000001E-2</v>
      </c>
      <c r="AB71" s="29">
        <v>68</v>
      </c>
      <c r="AC71" s="30"/>
      <c r="AD71" s="79"/>
      <c r="AE71" s="20"/>
      <c r="AF71" s="20"/>
      <c r="AG71" s="33"/>
      <c r="AH71" s="20"/>
      <c r="AJ71" s="34"/>
      <c r="AK71" s="21"/>
      <c r="AM71" s="16">
        <v>68</v>
      </c>
      <c r="AN71" s="161">
        <v>45449</v>
      </c>
      <c r="AO71" s="20" t="s">
        <v>102</v>
      </c>
      <c r="AP71" s="162">
        <v>100</v>
      </c>
      <c r="AQ71" s="20" t="s">
        <v>34</v>
      </c>
      <c r="AR71" s="20" t="s">
        <v>97</v>
      </c>
      <c r="AS71" s="20" t="s">
        <v>114</v>
      </c>
      <c r="AT71" s="51">
        <v>9036</v>
      </c>
      <c r="AU71" s="36">
        <v>16734.672000000002</v>
      </c>
      <c r="AV71" s="35">
        <f>[3]REFERENCE!$E$39</f>
        <v>8.3999999999999995E-3</v>
      </c>
      <c r="AW71" s="37">
        <f t="shared" si="6"/>
        <v>1.4057124480000001E-2</v>
      </c>
    </row>
    <row r="72" spans="14:49" ht="16" x14ac:dyDescent="0.35">
      <c r="N72" s="20">
        <v>69</v>
      </c>
      <c r="O72" s="147">
        <v>45462</v>
      </c>
      <c r="P72" s="20" t="s">
        <v>103</v>
      </c>
      <c r="Q72" s="20">
        <v>1125</v>
      </c>
      <c r="R72" s="20" t="s">
        <v>84</v>
      </c>
      <c r="S72" s="20" t="s">
        <v>85</v>
      </c>
      <c r="T72" s="20">
        <v>51</v>
      </c>
      <c r="U72" s="20" t="s">
        <v>113</v>
      </c>
      <c r="V72" s="149">
        <f t="shared" si="7"/>
        <v>1.5299999999999999E-2</v>
      </c>
      <c r="W72" s="20"/>
      <c r="X72" s="20">
        <f>[3]REFERENCE!$E$37</f>
        <v>0.59279999999999999</v>
      </c>
      <c r="Y72" s="21">
        <f t="shared" si="8"/>
        <v>3.0232800000000001E-2</v>
      </c>
      <c r="AB72" s="29">
        <v>69</v>
      </c>
      <c r="AC72" s="30"/>
      <c r="AD72" s="79"/>
      <c r="AE72" s="20"/>
      <c r="AF72" s="20"/>
      <c r="AG72" s="33"/>
      <c r="AH72" s="20"/>
      <c r="AJ72" s="34"/>
      <c r="AK72" s="21"/>
      <c r="AM72" s="16">
        <v>69</v>
      </c>
      <c r="AN72" s="147">
        <v>45462</v>
      </c>
      <c r="AO72" s="20" t="s">
        <v>103</v>
      </c>
      <c r="AP72" s="162">
        <v>1125</v>
      </c>
      <c r="AQ72" s="20" t="s">
        <v>34</v>
      </c>
      <c r="AR72" s="20" t="s">
        <v>97</v>
      </c>
      <c r="AS72" s="20" t="s">
        <v>114</v>
      </c>
      <c r="AT72" s="51">
        <v>9036</v>
      </c>
      <c r="AU72" s="36">
        <v>16734.672000000002</v>
      </c>
      <c r="AV72" s="35">
        <f>[3]REFERENCE!$E$39</f>
        <v>8.3999999999999995E-3</v>
      </c>
      <c r="AW72" s="37">
        <f t="shared" si="6"/>
        <v>0.1581426504</v>
      </c>
    </row>
    <row r="73" spans="14:49" ht="16" x14ac:dyDescent="0.35">
      <c r="N73" s="20">
        <v>70</v>
      </c>
      <c r="O73" s="147">
        <v>45467</v>
      </c>
      <c r="P73" s="20" t="s">
        <v>48</v>
      </c>
      <c r="Q73" s="20">
        <v>13608</v>
      </c>
      <c r="R73" s="20" t="s">
        <v>84</v>
      </c>
      <c r="S73" s="20" t="s">
        <v>85</v>
      </c>
      <c r="T73" s="20">
        <v>51</v>
      </c>
      <c r="U73" s="20" t="s">
        <v>113</v>
      </c>
      <c r="V73" s="149">
        <f t="shared" si="7"/>
        <v>1.5299999999999999E-2</v>
      </c>
      <c r="W73" s="20"/>
      <c r="X73" s="20">
        <f>[3]REFERENCE!$E$37</f>
        <v>0.59279999999999999</v>
      </c>
      <c r="Y73" s="21">
        <f t="shared" si="8"/>
        <v>3.0232800000000001E-2</v>
      </c>
      <c r="AB73" s="29">
        <v>70</v>
      </c>
      <c r="AC73" s="30"/>
      <c r="AD73" s="79"/>
      <c r="AE73" s="20"/>
      <c r="AF73" s="20"/>
      <c r="AG73" s="33"/>
      <c r="AH73" s="20"/>
      <c r="AJ73" s="34"/>
      <c r="AK73" s="21"/>
      <c r="AM73" s="16">
        <v>70</v>
      </c>
      <c r="AN73" s="147">
        <v>45467</v>
      </c>
      <c r="AO73" s="20" t="s">
        <v>48</v>
      </c>
      <c r="AP73" s="162">
        <v>13608</v>
      </c>
      <c r="AQ73" s="20" t="s">
        <v>34</v>
      </c>
      <c r="AR73" s="20" t="s">
        <v>97</v>
      </c>
      <c r="AS73" s="20" t="s">
        <v>114</v>
      </c>
      <c r="AT73" s="51">
        <v>9036</v>
      </c>
      <c r="AU73" s="36">
        <v>16734.672000000002</v>
      </c>
      <c r="AV73" s="35">
        <f>[3]REFERENCE!$E$39</f>
        <v>8.3999999999999995E-3</v>
      </c>
      <c r="AW73" s="37">
        <f t="shared" si="6"/>
        <v>1.9128934992384004</v>
      </c>
    </row>
    <row r="74" spans="14:49" x14ac:dyDescent="0.35">
      <c r="N74" s="20">
        <v>71</v>
      </c>
      <c r="O74" s="147">
        <v>45467</v>
      </c>
      <c r="P74" s="20" t="s">
        <v>46</v>
      </c>
      <c r="Q74" s="20">
        <v>10364.76</v>
      </c>
      <c r="R74" s="20" t="s">
        <v>84</v>
      </c>
      <c r="S74" s="20" t="s">
        <v>85</v>
      </c>
      <c r="T74" s="20">
        <v>51</v>
      </c>
      <c r="U74" s="20" t="s">
        <v>113</v>
      </c>
      <c r="V74" s="149">
        <f t="shared" si="7"/>
        <v>1.5299999999999999E-2</v>
      </c>
      <c r="W74" s="20"/>
      <c r="X74" s="20">
        <f>[3]REFERENCE!$E$37</f>
        <v>0.59279999999999999</v>
      </c>
      <c r="Y74" s="21">
        <f t="shared" si="8"/>
        <v>3.0232800000000001E-2</v>
      </c>
      <c r="AC74" s="168" t="s">
        <v>65</v>
      </c>
      <c r="AD74" s="168"/>
      <c r="AE74" s="168"/>
      <c r="AF74" s="168"/>
      <c r="AG74" s="168"/>
      <c r="AH74" s="168"/>
      <c r="AI74" s="168"/>
      <c r="AJ74" s="168"/>
      <c r="AK74" s="81">
        <f>SUM(AK4:AK73)</f>
        <v>4.6561625146997985</v>
      </c>
      <c r="AM74" s="16">
        <v>71</v>
      </c>
      <c r="AN74" s="147">
        <v>45467</v>
      </c>
      <c r="AO74" s="20" t="s">
        <v>46</v>
      </c>
      <c r="AP74" s="162">
        <v>10364.76</v>
      </c>
      <c r="AQ74" s="20" t="s">
        <v>34</v>
      </c>
      <c r="AR74" s="20" t="s">
        <v>97</v>
      </c>
      <c r="AS74" s="20" t="s">
        <v>114</v>
      </c>
      <c r="AT74" s="51">
        <v>9036</v>
      </c>
      <c r="AU74" s="36">
        <v>16734.672000000002</v>
      </c>
      <c r="AV74" s="35">
        <f>[3]REFERENCE!$E$39</f>
        <v>8.3999999999999995E-3</v>
      </c>
      <c r="AW74" s="37">
        <f t="shared" si="6"/>
        <v>1.4569872152532481</v>
      </c>
    </row>
    <row r="75" spans="14:49" x14ac:dyDescent="0.35">
      <c r="N75" s="20">
        <v>72</v>
      </c>
      <c r="O75" s="147">
        <v>45468</v>
      </c>
      <c r="P75" s="20" t="s">
        <v>47</v>
      </c>
      <c r="Q75" s="20">
        <v>24946.9</v>
      </c>
      <c r="R75" s="20" t="s">
        <v>84</v>
      </c>
      <c r="S75" s="20" t="s">
        <v>85</v>
      </c>
      <c r="T75" s="20">
        <v>51</v>
      </c>
      <c r="U75" s="20" t="s">
        <v>113</v>
      </c>
      <c r="V75" s="149">
        <f t="shared" si="7"/>
        <v>1.5299999999999999E-2</v>
      </c>
      <c r="W75" s="20"/>
      <c r="X75" s="20">
        <f>[3]REFERENCE!$E$37</f>
        <v>0.59279999999999999</v>
      </c>
      <c r="Y75" s="21">
        <f t="shared" si="8"/>
        <v>3.0232800000000001E-2</v>
      </c>
      <c r="AG75" s="20" t="s">
        <v>33</v>
      </c>
      <c r="AM75" s="16">
        <v>72</v>
      </c>
      <c r="AN75" s="147">
        <v>45468</v>
      </c>
      <c r="AO75" s="20" t="s">
        <v>47</v>
      </c>
      <c r="AP75" s="162">
        <v>24946.9</v>
      </c>
      <c r="AQ75" s="20" t="s">
        <v>34</v>
      </c>
      <c r="AR75" s="20" t="s">
        <v>97</v>
      </c>
      <c r="AS75" s="20" t="s">
        <v>114</v>
      </c>
      <c r="AT75" s="51">
        <v>9036</v>
      </c>
      <c r="AU75" s="36">
        <v>16734.672000000002</v>
      </c>
      <c r="AV75" s="35">
        <f>[3]REFERENCE!$E$39</f>
        <v>8.3999999999999995E-3</v>
      </c>
      <c r="AW75" s="37">
        <f t="shared" si="6"/>
        <v>3.5068167869011204</v>
      </c>
    </row>
    <row r="76" spans="14:49" x14ac:dyDescent="0.35">
      <c r="N76" s="20">
        <v>73</v>
      </c>
      <c r="O76" s="147">
        <v>45473</v>
      </c>
      <c r="P76" s="20" t="s">
        <v>53</v>
      </c>
      <c r="Q76" s="20">
        <v>24948</v>
      </c>
      <c r="R76" s="20" t="s">
        <v>84</v>
      </c>
      <c r="S76" s="20" t="s">
        <v>85</v>
      </c>
      <c r="T76" s="20">
        <v>51</v>
      </c>
      <c r="U76" s="20" t="s">
        <v>113</v>
      </c>
      <c r="V76" s="149">
        <f t="shared" si="7"/>
        <v>1.5299999999999999E-2</v>
      </c>
      <c r="W76" s="20"/>
      <c r="X76" s="20">
        <f>[3]REFERENCE!$E$37</f>
        <v>0.59279999999999999</v>
      </c>
      <c r="Y76" s="21">
        <f t="shared" si="8"/>
        <v>3.0232800000000001E-2</v>
      </c>
      <c r="AM76" s="16">
        <v>73</v>
      </c>
      <c r="AN76" s="147">
        <v>45473</v>
      </c>
      <c r="AO76" s="20" t="s">
        <v>53</v>
      </c>
      <c r="AP76" s="162">
        <v>24948</v>
      </c>
      <c r="AQ76" s="20" t="s">
        <v>34</v>
      </c>
      <c r="AR76" s="20" t="s">
        <v>97</v>
      </c>
      <c r="AS76" s="20" t="s">
        <v>114</v>
      </c>
      <c r="AT76" s="51">
        <v>9036</v>
      </c>
      <c r="AU76" s="36">
        <v>16734.672000000002</v>
      </c>
      <c r="AV76" s="35">
        <f>[3]REFERENCE!$E$39</f>
        <v>8.3999999999999995E-3</v>
      </c>
      <c r="AW76" s="37">
        <f t="shared" si="6"/>
        <v>3.5069714152704003</v>
      </c>
    </row>
    <row r="77" spans="14:49" x14ac:dyDescent="0.35">
      <c r="N77" s="20">
        <v>74</v>
      </c>
      <c r="O77" s="147">
        <v>45473</v>
      </c>
      <c r="P77" s="20" t="s">
        <v>46</v>
      </c>
      <c r="Q77" s="20">
        <v>24948</v>
      </c>
      <c r="R77" s="20" t="s">
        <v>84</v>
      </c>
      <c r="S77" s="20" t="s">
        <v>85</v>
      </c>
      <c r="T77" s="20">
        <v>51</v>
      </c>
      <c r="U77" s="20" t="s">
        <v>113</v>
      </c>
      <c r="V77" s="149">
        <f t="shared" si="7"/>
        <v>1.5299999999999999E-2</v>
      </c>
      <c r="W77" s="20"/>
      <c r="X77" s="20">
        <f>[3]REFERENCE!$E$37</f>
        <v>0.59279999999999999</v>
      </c>
      <c r="Y77" s="21">
        <f t="shared" si="8"/>
        <v>3.0232800000000001E-2</v>
      </c>
      <c r="AM77" s="16">
        <v>74</v>
      </c>
      <c r="AN77" s="147">
        <v>45473</v>
      </c>
      <c r="AO77" s="20" t="s">
        <v>46</v>
      </c>
      <c r="AP77" s="162">
        <v>24948</v>
      </c>
      <c r="AQ77" s="20" t="s">
        <v>34</v>
      </c>
      <c r="AR77" s="20" t="s">
        <v>97</v>
      </c>
      <c r="AS77" s="20" t="s">
        <v>114</v>
      </c>
      <c r="AT77" s="51">
        <v>9036</v>
      </c>
      <c r="AU77" s="36">
        <v>16734.672000000002</v>
      </c>
      <c r="AV77" s="35">
        <f>[3]REFERENCE!$E$39</f>
        <v>8.3999999999999995E-3</v>
      </c>
      <c r="AW77" s="37">
        <f t="shared" si="6"/>
        <v>3.5069714152704003</v>
      </c>
    </row>
    <row r="78" spans="14:49" x14ac:dyDescent="0.35">
      <c r="N78" s="20">
        <v>75</v>
      </c>
      <c r="O78" s="147">
        <v>45471</v>
      </c>
      <c r="P78" s="20" t="s">
        <v>49</v>
      </c>
      <c r="Q78" s="20">
        <v>24600</v>
      </c>
      <c r="R78" s="20" t="s">
        <v>84</v>
      </c>
      <c r="S78" s="20" t="s">
        <v>89</v>
      </c>
      <c r="T78" s="20">
        <v>269</v>
      </c>
      <c r="U78" s="20" t="s">
        <v>113</v>
      </c>
      <c r="V78" s="149">
        <f t="shared" si="7"/>
        <v>8.0699999999999994E-2</v>
      </c>
      <c r="W78" s="20"/>
      <c r="X78" s="20">
        <f>[3]REFERENCE!$E$37</f>
        <v>0.59279999999999999</v>
      </c>
      <c r="Y78" s="21">
        <f t="shared" si="8"/>
        <v>0.1594632</v>
      </c>
      <c r="AM78" s="16">
        <v>75</v>
      </c>
      <c r="AN78" s="147">
        <v>45471</v>
      </c>
      <c r="AO78" s="20" t="s">
        <v>49</v>
      </c>
      <c r="AP78" s="162">
        <v>24600</v>
      </c>
      <c r="AQ78" s="20" t="s">
        <v>71</v>
      </c>
      <c r="AR78" s="20" t="s">
        <v>106</v>
      </c>
      <c r="AS78" s="20" t="s">
        <v>114</v>
      </c>
      <c r="AT78" s="49">
        <v>3447</v>
      </c>
      <c r="AU78" s="36">
        <v>6383.84</v>
      </c>
      <c r="AV78" s="35">
        <f>[3]REFERENCE!$E$39</f>
        <v>8.3999999999999995E-3</v>
      </c>
      <c r="AW78" s="37">
        <f t="shared" si="6"/>
        <v>1.3191566975999998</v>
      </c>
    </row>
    <row r="79" spans="14:49" x14ac:dyDescent="0.35">
      <c r="N79" s="20">
        <v>76</v>
      </c>
      <c r="O79" s="147">
        <v>45471</v>
      </c>
      <c r="P79" s="20" t="s">
        <v>54</v>
      </c>
      <c r="Q79" s="20">
        <v>800</v>
      </c>
      <c r="R79" s="20" t="s">
        <v>84</v>
      </c>
      <c r="S79" s="20" t="s">
        <v>89</v>
      </c>
      <c r="T79" s="20">
        <v>269</v>
      </c>
      <c r="U79" s="20" t="s">
        <v>113</v>
      </c>
      <c r="V79" s="149">
        <f t="shared" si="7"/>
        <v>8.0699999999999994E-2</v>
      </c>
      <c r="W79" s="20"/>
      <c r="X79" s="20">
        <f>[3]REFERENCE!$E$37</f>
        <v>0.59279999999999999</v>
      </c>
      <c r="Y79" s="21">
        <f t="shared" si="8"/>
        <v>0.1594632</v>
      </c>
      <c r="AM79" s="16">
        <v>76</v>
      </c>
      <c r="AN79" s="147">
        <v>45471</v>
      </c>
      <c r="AO79" s="20" t="s">
        <v>54</v>
      </c>
      <c r="AP79" s="162">
        <v>800</v>
      </c>
      <c r="AQ79" s="20" t="s">
        <v>71</v>
      </c>
      <c r="AR79" s="20" t="s">
        <v>106</v>
      </c>
      <c r="AS79" s="20" t="s">
        <v>114</v>
      </c>
      <c r="AT79" s="49">
        <v>3447</v>
      </c>
      <c r="AU79" s="36">
        <v>6383.84</v>
      </c>
      <c r="AV79" s="35">
        <f>[3]REFERENCE!$E$39</f>
        <v>8.3999999999999995E-3</v>
      </c>
      <c r="AW79" s="37">
        <f t="shared" si="6"/>
        <v>4.2899404799999999E-2</v>
      </c>
    </row>
    <row r="80" spans="14:49" x14ac:dyDescent="0.35">
      <c r="N80" s="20">
        <v>77</v>
      </c>
      <c r="O80" s="147">
        <v>45471</v>
      </c>
      <c r="P80" s="20" t="s">
        <v>49</v>
      </c>
      <c r="Q80" s="20">
        <v>21000</v>
      </c>
      <c r="R80" s="20" t="s">
        <v>84</v>
      </c>
      <c r="S80" s="20" t="s">
        <v>89</v>
      </c>
      <c r="T80" s="20">
        <v>269</v>
      </c>
      <c r="U80" s="20" t="s">
        <v>113</v>
      </c>
      <c r="V80" s="149">
        <f t="shared" si="7"/>
        <v>8.0699999999999994E-2</v>
      </c>
      <c r="W80" s="20"/>
      <c r="X80" s="20">
        <f>[3]REFERENCE!$E$37</f>
        <v>0.59279999999999999</v>
      </c>
      <c r="Y80" s="21">
        <f t="shared" si="8"/>
        <v>0.1594632</v>
      </c>
      <c r="AM80" s="73">
        <v>77</v>
      </c>
      <c r="AN80" s="147">
        <v>45471</v>
      </c>
      <c r="AO80" s="20" t="s">
        <v>49</v>
      </c>
      <c r="AP80" s="162">
        <v>21000</v>
      </c>
      <c r="AQ80" s="20" t="s">
        <v>71</v>
      </c>
      <c r="AR80" s="20" t="s">
        <v>106</v>
      </c>
      <c r="AS80" s="20" t="s">
        <v>114</v>
      </c>
      <c r="AT80" s="49">
        <v>3447</v>
      </c>
      <c r="AU80" s="36">
        <v>6383.84</v>
      </c>
      <c r="AV80" s="35">
        <f>[3]REFERENCE!$E$39</f>
        <v>8.3999999999999995E-3</v>
      </c>
      <c r="AW80" s="37">
        <f t="shared" si="6"/>
        <v>1.1261093759999998</v>
      </c>
    </row>
    <row r="81" spans="14:49" x14ac:dyDescent="0.35">
      <c r="N81" s="20">
        <v>78</v>
      </c>
      <c r="O81" s="147">
        <v>45449</v>
      </c>
      <c r="P81" s="20" t="s">
        <v>54</v>
      </c>
      <c r="Q81" s="20">
        <v>1200</v>
      </c>
      <c r="R81" s="20" t="s">
        <v>84</v>
      </c>
      <c r="S81" s="20" t="s">
        <v>89</v>
      </c>
      <c r="T81" s="20">
        <v>269</v>
      </c>
      <c r="U81" s="20" t="s">
        <v>113</v>
      </c>
      <c r="V81" s="149">
        <f t="shared" si="7"/>
        <v>8.0699999999999994E-2</v>
      </c>
      <c r="W81" s="20"/>
      <c r="X81" s="20">
        <f>[3]REFERENCE!$E$37</f>
        <v>0.59279999999999999</v>
      </c>
      <c r="Y81" s="21">
        <f t="shared" si="8"/>
        <v>0.1594632</v>
      </c>
      <c r="AM81" s="16">
        <v>78</v>
      </c>
      <c r="AN81" s="147">
        <v>45449</v>
      </c>
      <c r="AO81" s="20" t="s">
        <v>54</v>
      </c>
      <c r="AP81" s="162">
        <v>1200</v>
      </c>
      <c r="AQ81" s="20" t="s">
        <v>71</v>
      </c>
      <c r="AR81" s="20" t="s">
        <v>106</v>
      </c>
      <c r="AS81" s="20" t="s">
        <v>114</v>
      </c>
      <c r="AT81" s="49">
        <v>3447</v>
      </c>
      <c r="AU81" s="36">
        <v>6383.84</v>
      </c>
      <c r="AV81" s="35">
        <f>[3]REFERENCE!$E$39</f>
        <v>8.3999999999999995E-3</v>
      </c>
      <c r="AW81" s="37">
        <f t="shared" si="6"/>
        <v>6.4349107200000005E-2</v>
      </c>
    </row>
    <row r="82" spans="14:49" x14ac:dyDescent="0.35">
      <c r="N82" s="20">
        <v>79</v>
      </c>
      <c r="O82" s="147">
        <v>45473</v>
      </c>
      <c r="P82" s="20" t="s">
        <v>104</v>
      </c>
      <c r="Q82" s="20">
        <v>12000</v>
      </c>
      <c r="R82" s="20" t="s">
        <v>84</v>
      </c>
      <c r="S82" s="20" t="s">
        <v>85</v>
      </c>
      <c r="T82" s="20">
        <v>51</v>
      </c>
      <c r="U82" s="20" t="s">
        <v>113</v>
      </c>
      <c r="V82" s="149">
        <f t="shared" si="7"/>
        <v>1.5299999999999999E-2</v>
      </c>
      <c r="W82" s="20"/>
      <c r="X82" s="20">
        <f>[3]REFERENCE!$E$37</f>
        <v>0.59279999999999999</v>
      </c>
      <c r="Y82" s="21">
        <f t="shared" si="8"/>
        <v>3.0232800000000001E-2</v>
      </c>
      <c r="AM82" s="73">
        <v>79</v>
      </c>
      <c r="AN82" s="147">
        <v>45473</v>
      </c>
      <c r="AO82" s="20" t="s">
        <v>104</v>
      </c>
      <c r="AP82" s="162">
        <v>12000</v>
      </c>
      <c r="AQ82" s="20" t="s">
        <v>34</v>
      </c>
      <c r="AR82" s="20" t="s">
        <v>52</v>
      </c>
      <c r="AS82" s="20" t="s">
        <v>115</v>
      </c>
      <c r="AT82" s="35">
        <v>7082</v>
      </c>
      <c r="AU82" s="36">
        <v>13115.86</v>
      </c>
      <c r="AV82" s="35">
        <f>[3]REFERENCE!$E$39</f>
        <v>8.3999999999999995E-3</v>
      </c>
      <c r="AW82" s="37">
        <f t="shared" si="6"/>
        <v>1.3220786879999999</v>
      </c>
    </row>
    <row r="83" spans="14:49" x14ac:dyDescent="0.35">
      <c r="N83" s="20">
        <v>80</v>
      </c>
      <c r="O83" s="147">
        <v>45473</v>
      </c>
      <c r="P83" s="20" t="s">
        <v>77</v>
      </c>
      <c r="Q83" s="20">
        <v>5000</v>
      </c>
      <c r="R83" s="20" t="s">
        <v>84</v>
      </c>
      <c r="S83" s="20" t="s">
        <v>85</v>
      </c>
      <c r="T83" s="20">
        <v>51</v>
      </c>
      <c r="U83" s="20" t="s">
        <v>113</v>
      </c>
      <c r="V83" s="149">
        <f t="shared" si="7"/>
        <v>1.5299999999999999E-2</v>
      </c>
      <c r="W83" s="20"/>
      <c r="X83" s="20">
        <f>[3]REFERENCE!$E$37</f>
        <v>0.59279999999999999</v>
      </c>
      <c r="Y83" s="21">
        <f t="shared" si="8"/>
        <v>3.0232800000000001E-2</v>
      </c>
      <c r="AM83" s="16">
        <v>80</v>
      </c>
      <c r="AN83" s="147">
        <v>45473</v>
      </c>
      <c r="AO83" s="20" t="s">
        <v>77</v>
      </c>
      <c r="AP83" s="162">
        <v>5000</v>
      </c>
      <c r="AQ83" s="20" t="s">
        <v>34</v>
      </c>
      <c r="AR83" s="20" t="s">
        <v>52</v>
      </c>
      <c r="AS83" s="20" t="s">
        <v>115</v>
      </c>
      <c r="AT83" s="35">
        <v>7082</v>
      </c>
      <c r="AU83" s="36">
        <v>13115.86</v>
      </c>
      <c r="AV83" s="35">
        <f>[3]REFERENCE!$E$39</f>
        <v>8.3999999999999995E-3</v>
      </c>
      <c r="AW83" s="37">
        <f t="shared" si="6"/>
        <v>0.55086612000000001</v>
      </c>
    </row>
    <row r="84" spans="14:49" x14ac:dyDescent="0.35">
      <c r="N84" s="20">
        <v>81</v>
      </c>
      <c r="O84" s="147">
        <v>45473</v>
      </c>
      <c r="P84" s="20" t="s">
        <v>105</v>
      </c>
      <c r="Q84" s="20">
        <v>5000</v>
      </c>
      <c r="R84" s="20" t="s">
        <v>84</v>
      </c>
      <c r="S84" s="20" t="s">
        <v>85</v>
      </c>
      <c r="T84" s="20">
        <v>51</v>
      </c>
      <c r="U84" s="20" t="s">
        <v>113</v>
      </c>
      <c r="V84" s="149">
        <f t="shared" si="7"/>
        <v>1.5299999999999999E-2</v>
      </c>
      <c r="W84" s="20"/>
      <c r="X84" s="20">
        <f>[3]REFERENCE!$E$37</f>
        <v>0.59279999999999999</v>
      </c>
      <c r="Y84" s="21">
        <f t="shared" si="8"/>
        <v>3.0232800000000001E-2</v>
      </c>
      <c r="AM84" s="73">
        <v>81</v>
      </c>
      <c r="AN84" s="147">
        <v>45473</v>
      </c>
      <c r="AO84" s="20" t="s">
        <v>105</v>
      </c>
      <c r="AP84" s="162">
        <v>5000</v>
      </c>
      <c r="AQ84" s="20" t="s">
        <v>34</v>
      </c>
      <c r="AR84" s="20" t="s">
        <v>52</v>
      </c>
      <c r="AS84" s="20" t="s">
        <v>115</v>
      </c>
      <c r="AT84" s="35">
        <v>7082</v>
      </c>
      <c r="AU84" s="36">
        <v>13115.86</v>
      </c>
      <c r="AV84" s="35">
        <f>[3]REFERENCE!$E$39</f>
        <v>8.3999999999999995E-3</v>
      </c>
      <c r="AW84" s="37">
        <f t="shared" si="6"/>
        <v>0.55086612000000001</v>
      </c>
    </row>
    <row r="85" spans="14:49" x14ac:dyDescent="0.35">
      <c r="N85" s="20">
        <v>82</v>
      </c>
      <c r="O85" s="147">
        <v>45112</v>
      </c>
      <c r="P85" s="20" t="s">
        <v>54</v>
      </c>
      <c r="Q85" s="20">
        <v>400</v>
      </c>
      <c r="R85" s="20" t="s">
        <v>89</v>
      </c>
      <c r="S85" s="20" t="s">
        <v>71</v>
      </c>
      <c r="T85" s="20">
        <v>434</v>
      </c>
      <c r="U85" s="20" t="s">
        <v>113</v>
      </c>
      <c r="V85" s="149">
        <f t="shared" si="7"/>
        <v>0.13019999999999998</v>
      </c>
      <c r="W85" s="20"/>
      <c r="X85" s="20">
        <f>[3]REFERENCE!$E$37</f>
        <v>0.59279999999999999</v>
      </c>
      <c r="Y85" s="21">
        <f t="shared" si="8"/>
        <v>0.25727519999999998</v>
      </c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>
        <f>SUM(AW4:AW84)</f>
        <v>121.2678289862649</v>
      </c>
    </row>
    <row r="86" spans="14:49" x14ac:dyDescent="0.35">
      <c r="N86" s="20">
        <v>83</v>
      </c>
      <c r="O86" s="147">
        <v>45115</v>
      </c>
      <c r="P86" s="20" t="s">
        <v>49</v>
      </c>
      <c r="Q86" s="20">
        <v>25000</v>
      </c>
      <c r="R86" s="20" t="s">
        <v>89</v>
      </c>
      <c r="S86" s="20" t="s">
        <v>71</v>
      </c>
      <c r="T86" s="20">
        <v>434</v>
      </c>
      <c r="U86" s="20" t="s">
        <v>113</v>
      </c>
      <c r="V86" s="149">
        <f t="shared" si="7"/>
        <v>0.13019999999999998</v>
      </c>
      <c r="W86" s="20"/>
      <c r="X86" s="20">
        <f>[3]REFERENCE!$E$37</f>
        <v>0.59279999999999999</v>
      </c>
      <c r="Y86" s="21">
        <f t="shared" si="8"/>
        <v>0.25727519999999998</v>
      </c>
    </row>
    <row r="87" spans="14:49" x14ac:dyDescent="0.35">
      <c r="N87" s="20">
        <v>84</v>
      </c>
      <c r="O87" s="147">
        <v>45115</v>
      </c>
      <c r="P87" s="20" t="s">
        <v>54</v>
      </c>
      <c r="Q87" s="20">
        <v>400</v>
      </c>
      <c r="R87" s="20" t="s">
        <v>89</v>
      </c>
      <c r="S87" s="20" t="s">
        <v>71</v>
      </c>
      <c r="T87" s="20">
        <v>434</v>
      </c>
      <c r="U87" s="20" t="s">
        <v>113</v>
      </c>
      <c r="V87" s="149">
        <f t="shared" si="7"/>
        <v>0.13019999999999998</v>
      </c>
      <c r="W87" s="20"/>
      <c r="X87" s="20">
        <f>[3]REFERENCE!$E$37</f>
        <v>0.59279999999999999</v>
      </c>
      <c r="Y87" s="21">
        <f t="shared" si="8"/>
        <v>0.25727519999999998</v>
      </c>
    </row>
    <row r="88" spans="14:49" x14ac:dyDescent="0.35">
      <c r="N88" s="20">
        <v>85</v>
      </c>
      <c r="O88" s="147">
        <v>45131</v>
      </c>
      <c r="P88" s="20" t="s">
        <v>54</v>
      </c>
      <c r="Q88" s="20">
        <v>60</v>
      </c>
      <c r="R88" s="20" t="s">
        <v>89</v>
      </c>
      <c r="S88" s="20" t="s">
        <v>71</v>
      </c>
      <c r="T88" s="20">
        <v>434</v>
      </c>
      <c r="U88" s="20" t="s">
        <v>113</v>
      </c>
      <c r="V88" s="149">
        <f t="shared" si="7"/>
        <v>0.13019999999999998</v>
      </c>
      <c r="W88" s="20"/>
      <c r="X88" s="20">
        <f>[3]REFERENCE!$E$37</f>
        <v>0.59279999999999999</v>
      </c>
      <c r="Y88" s="21">
        <f t="shared" si="8"/>
        <v>0.25727519999999998</v>
      </c>
    </row>
    <row r="89" spans="14:49" x14ac:dyDescent="0.35">
      <c r="N89" s="20">
        <v>86</v>
      </c>
      <c r="O89" s="147">
        <v>45142</v>
      </c>
      <c r="P89" s="20" t="s">
        <v>49</v>
      </c>
      <c r="Q89" s="20">
        <v>25000</v>
      </c>
      <c r="R89" s="20" t="s">
        <v>89</v>
      </c>
      <c r="S89" s="20" t="s">
        <v>71</v>
      </c>
      <c r="T89" s="20">
        <v>434</v>
      </c>
      <c r="U89" s="20" t="s">
        <v>113</v>
      </c>
      <c r="V89" s="149">
        <f t="shared" si="7"/>
        <v>0.13019999999999998</v>
      </c>
      <c r="W89" s="20"/>
      <c r="X89" s="20">
        <f>[3]REFERENCE!$E$37</f>
        <v>0.59279999999999999</v>
      </c>
      <c r="Y89" s="21">
        <f t="shared" si="8"/>
        <v>0.25727519999999998</v>
      </c>
    </row>
    <row r="90" spans="14:49" x14ac:dyDescent="0.35">
      <c r="N90" s="20">
        <v>87</v>
      </c>
      <c r="O90" s="147">
        <v>45142</v>
      </c>
      <c r="P90" s="20" t="s">
        <v>54</v>
      </c>
      <c r="Q90" s="20">
        <v>400</v>
      </c>
      <c r="R90" s="20" t="s">
        <v>89</v>
      </c>
      <c r="S90" s="20" t="s">
        <v>71</v>
      </c>
      <c r="T90" s="20">
        <v>434</v>
      </c>
      <c r="U90" s="20" t="s">
        <v>113</v>
      </c>
      <c r="V90" s="149">
        <f t="shared" si="7"/>
        <v>0.13019999999999998</v>
      </c>
      <c r="W90" s="20"/>
      <c r="X90" s="20">
        <f>[3]REFERENCE!$E$37</f>
        <v>0.59279999999999999</v>
      </c>
      <c r="Y90" s="21">
        <f t="shared" si="8"/>
        <v>0.25727519999999998</v>
      </c>
    </row>
    <row r="91" spans="14:49" x14ac:dyDescent="0.35">
      <c r="N91" s="20">
        <v>88</v>
      </c>
      <c r="O91" s="147">
        <v>45160</v>
      </c>
      <c r="P91" s="20" t="s">
        <v>49</v>
      </c>
      <c r="Q91" s="20">
        <v>25000</v>
      </c>
      <c r="R91" s="20" t="s">
        <v>89</v>
      </c>
      <c r="S91" s="20" t="s">
        <v>71</v>
      </c>
      <c r="T91" s="20">
        <v>434</v>
      </c>
      <c r="U91" s="20" t="s">
        <v>113</v>
      </c>
      <c r="V91" s="149">
        <f t="shared" si="7"/>
        <v>0.13019999999999998</v>
      </c>
      <c r="W91" s="20"/>
      <c r="X91" s="20">
        <f>[3]REFERENCE!$E$37</f>
        <v>0.59279999999999999</v>
      </c>
      <c r="Y91" s="21">
        <f t="shared" si="8"/>
        <v>0.25727519999999998</v>
      </c>
    </row>
    <row r="92" spans="14:49" x14ac:dyDescent="0.35">
      <c r="N92" s="20">
        <v>89</v>
      </c>
      <c r="O92" s="147">
        <v>45160</v>
      </c>
      <c r="P92" s="20" t="s">
        <v>54</v>
      </c>
      <c r="Q92" s="20">
        <v>400</v>
      </c>
      <c r="R92" s="20" t="s">
        <v>89</v>
      </c>
      <c r="S92" s="20" t="s">
        <v>71</v>
      </c>
      <c r="T92" s="20">
        <v>434</v>
      </c>
      <c r="U92" s="20" t="s">
        <v>113</v>
      </c>
      <c r="V92" s="149">
        <f t="shared" si="7"/>
        <v>0.13019999999999998</v>
      </c>
      <c r="W92" s="20"/>
      <c r="X92" s="20">
        <f>[3]REFERENCE!$E$37</f>
        <v>0.59279999999999999</v>
      </c>
      <c r="Y92" s="21">
        <f t="shared" si="8"/>
        <v>0.25727519999999998</v>
      </c>
    </row>
    <row r="93" spans="14:49" x14ac:dyDescent="0.35">
      <c r="N93" s="20">
        <v>90</v>
      </c>
      <c r="O93" s="147">
        <v>45178</v>
      </c>
      <c r="P93" s="20" t="s">
        <v>49</v>
      </c>
      <c r="Q93" s="20">
        <v>25000</v>
      </c>
      <c r="R93" s="20" t="s">
        <v>89</v>
      </c>
      <c r="S93" s="20" t="s">
        <v>71</v>
      </c>
      <c r="T93" s="20">
        <v>434</v>
      </c>
      <c r="U93" s="20" t="s">
        <v>113</v>
      </c>
      <c r="V93" s="149">
        <f t="shared" si="7"/>
        <v>0.13019999999999998</v>
      </c>
      <c r="W93" s="20"/>
      <c r="X93" s="20">
        <f>[3]REFERENCE!$E$37</f>
        <v>0.59279999999999999</v>
      </c>
      <c r="Y93" s="21">
        <f t="shared" si="8"/>
        <v>0.25727519999999998</v>
      </c>
    </row>
    <row r="94" spans="14:49" x14ac:dyDescent="0.35">
      <c r="N94" s="20">
        <v>91</v>
      </c>
      <c r="O94" s="147">
        <v>45178</v>
      </c>
      <c r="P94" s="20" t="s">
        <v>54</v>
      </c>
      <c r="Q94" s="20">
        <v>400</v>
      </c>
      <c r="R94" s="20" t="s">
        <v>89</v>
      </c>
      <c r="S94" s="20" t="s">
        <v>71</v>
      </c>
      <c r="T94" s="20">
        <v>434</v>
      </c>
      <c r="U94" s="20" t="s">
        <v>113</v>
      </c>
      <c r="V94" s="149">
        <f t="shared" si="7"/>
        <v>0.13019999999999998</v>
      </c>
      <c r="W94" s="20"/>
      <c r="X94" s="20">
        <f>[3]REFERENCE!$E$37</f>
        <v>0.59279999999999999</v>
      </c>
      <c r="Y94" s="21">
        <f t="shared" si="8"/>
        <v>0.25727519999999998</v>
      </c>
    </row>
    <row r="95" spans="14:49" x14ac:dyDescent="0.35">
      <c r="N95" s="20">
        <v>92</v>
      </c>
      <c r="O95" s="147">
        <v>45211</v>
      </c>
      <c r="P95" s="20" t="s">
        <v>49</v>
      </c>
      <c r="Q95" s="20">
        <v>1600</v>
      </c>
      <c r="R95" s="20" t="s">
        <v>89</v>
      </c>
      <c r="S95" s="20" t="s">
        <v>71</v>
      </c>
      <c r="T95" s="20">
        <v>434</v>
      </c>
      <c r="U95" s="20" t="s">
        <v>113</v>
      </c>
      <c r="V95" s="149">
        <f t="shared" si="7"/>
        <v>0.13019999999999998</v>
      </c>
      <c r="W95" s="20"/>
      <c r="X95" s="20">
        <f>[3]REFERENCE!$E$37</f>
        <v>0.59279999999999999</v>
      </c>
      <c r="Y95" s="21">
        <f t="shared" si="8"/>
        <v>0.25727519999999998</v>
      </c>
    </row>
    <row r="96" spans="14:49" x14ac:dyDescent="0.35">
      <c r="N96" s="20">
        <v>93</v>
      </c>
      <c r="O96" s="147">
        <v>45213</v>
      </c>
      <c r="P96" s="20" t="s">
        <v>49</v>
      </c>
      <c r="Q96" s="20">
        <v>25000</v>
      </c>
      <c r="R96" s="20" t="s">
        <v>89</v>
      </c>
      <c r="S96" s="20" t="s">
        <v>71</v>
      </c>
      <c r="T96" s="20">
        <v>434</v>
      </c>
      <c r="U96" s="20" t="s">
        <v>113</v>
      </c>
      <c r="V96" s="149">
        <f t="shared" si="7"/>
        <v>0.13019999999999998</v>
      </c>
      <c r="W96" s="20"/>
      <c r="X96" s="20">
        <f>[3]REFERENCE!$E$37</f>
        <v>0.59279999999999999</v>
      </c>
      <c r="Y96" s="21">
        <f t="shared" si="8"/>
        <v>0.25727519999999998</v>
      </c>
    </row>
    <row r="97" spans="14:25" x14ac:dyDescent="0.35">
      <c r="N97" s="20">
        <v>94</v>
      </c>
      <c r="O97" s="147">
        <v>45218</v>
      </c>
      <c r="P97" s="20" t="s">
        <v>49</v>
      </c>
      <c r="Q97" s="20">
        <v>25000</v>
      </c>
      <c r="R97" s="20" t="s">
        <v>89</v>
      </c>
      <c r="S97" s="20" t="s">
        <v>71</v>
      </c>
      <c r="T97" s="20">
        <v>434</v>
      </c>
      <c r="U97" s="20" t="s">
        <v>113</v>
      </c>
      <c r="V97" s="149">
        <f t="shared" si="7"/>
        <v>0.13019999999999998</v>
      </c>
      <c r="W97" s="20"/>
      <c r="X97" s="20">
        <f>[3]REFERENCE!$E$37</f>
        <v>0.59279999999999999</v>
      </c>
      <c r="Y97" s="21">
        <f t="shared" si="8"/>
        <v>0.25727519999999998</v>
      </c>
    </row>
    <row r="98" spans="14:25" x14ac:dyDescent="0.35">
      <c r="N98" s="20">
        <v>95</v>
      </c>
      <c r="O98" s="147">
        <v>45244</v>
      </c>
      <c r="P98" s="20" t="s">
        <v>49</v>
      </c>
      <c r="Q98" s="20">
        <v>25000</v>
      </c>
      <c r="R98" s="20" t="s">
        <v>89</v>
      </c>
      <c r="S98" s="20" t="s">
        <v>71</v>
      </c>
      <c r="T98" s="20">
        <v>434</v>
      </c>
      <c r="U98" s="20" t="s">
        <v>113</v>
      </c>
      <c r="V98" s="149">
        <f t="shared" si="7"/>
        <v>0.13019999999999998</v>
      </c>
      <c r="W98" s="20"/>
      <c r="X98" s="20">
        <f>[3]REFERENCE!$E$37</f>
        <v>0.59279999999999999</v>
      </c>
      <c r="Y98" s="21">
        <f t="shared" si="8"/>
        <v>0.25727519999999998</v>
      </c>
    </row>
    <row r="99" spans="14:25" x14ac:dyDescent="0.35">
      <c r="N99" s="20">
        <v>96</v>
      </c>
      <c r="O99" s="147">
        <v>45244</v>
      </c>
      <c r="P99" s="20" t="s">
        <v>54</v>
      </c>
      <c r="Q99" s="20">
        <v>400</v>
      </c>
      <c r="R99" s="20" t="s">
        <v>89</v>
      </c>
      <c r="S99" s="20" t="s">
        <v>71</v>
      </c>
      <c r="T99" s="20">
        <v>434</v>
      </c>
      <c r="U99" s="20" t="s">
        <v>113</v>
      </c>
      <c r="V99" s="149">
        <f t="shared" si="7"/>
        <v>0.13019999999999998</v>
      </c>
      <c r="W99" s="20"/>
      <c r="X99" s="20">
        <f>[3]REFERENCE!$E$37</f>
        <v>0.59279999999999999</v>
      </c>
      <c r="Y99" s="21">
        <f t="shared" si="8"/>
        <v>0.25727519999999998</v>
      </c>
    </row>
    <row r="100" spans="14:25" x14ac:dyDescent="0.35">
      <c r="N100" s="20">
        <v>97</v>
      </c>
      <c r="O100" s="147">
        <v>45259</v>
      </c>
      <c r="P100" s="20" t="s">
        <v>49</v>
      </c>
      <c r="Q100" s="20">
        <v>9000</v>
      </c>
      <c r="R100" s="20" t="s">
        <v>89</v>
      </c>
      <c r="S100" s="20" t="s">
        <v>71</v>
      </c>
      <c r="T100" s="20">
        <v>434</v>
      </c>
      <c r="U100" s="20" t="s">
        <v>113</v>
      </c>
      <c r="V100" s="149">
        <f t="shared" si="7"/>
        <v>0.13019999999999998</v>
      </c>
      <c r="W100" s="20"/>
      <c r="X100" s="20">
        <f>[3]REFERENCE!$E$37</f>
        <v>0.59279999999999999</v>
      </c>
      <c r="Y100" s="21">
        <f t="shared" si="8"/>
        <v>0.25727519999999998</v>
      </c>
    </row>
    <row r="101" spans="14:25" x14ac:dyDescent="0.35">
      <c r="N101" s="20">
        <v>98</v>
      </c>
      <c r="O101" s="147">
        <v>45259</v>
      </c>
      <c r="P101" s="20" t="s">
        <v>54</v>
      </c>
      <c r="Q101" s="20">
        <v>400</v>
      </c>
      <c r="R101" s="20" t="s">
        <v>89</v>
      </c>
      <c r="S101" s="20" t="s">
        <v>71</v>
      </c>
      <c r="T101" s="20">
        <v>434</v>
      </c>
      <c r="U101" s="20" t="s">
        <v>113</v>
      </c>
      <c r="V101" s="149">
        <f t="shared" si="7"/>
        <v>0.13019999999999998</v>
      </c>
      <c r="W101" s="20"/>
      <c r="X101" s="20">
        <f>[3]REFERENCE!$E$37</f>
        <v>0.59279999999999999</v>
      </c>
      <c r="Y101" s="21">
        <f t="shared" si="8"/>
        <v>0.25727519999999998</v>
      </c>
    </row>
    <row r="102" spans="14:25" x14ac:dyDescent="0.35">
      <c r="N102" s="20">
        <v>99</v>
      </c>
      <c r="O102" s="147">
        <v>45259</v>
      </c>
      <c r="P102" s="20" t="s">
        <v>49</v>
      </c>
      <c r="Q102" s="20">
        <v>16000</v>
      </c>
      <c r="R102" s="20" t="s">
        <v>89</v>
      </c>
      <c r="S102" s="20" t="s">
        <v>71</v>
      </c>
      <c r="T102" s="20">
        <v>434</v>
      </c>
      <c r="U102" s="20" t="s">
        <v>113</v>
      </c>
      <c r="V102" s="149">
        <f t="shared" si="7"/>
        <v>0.13019999999999998</v>
      </c>
      <c r="W102" s="20"/>
      <c r="X102" s="20">
        <f>[3]REFERENCE!$E$37</f>
        <v>0.59279999999999999</v>
      </c>
      <c r="Y102" s="21">
        <f t="shared" si="8"/>
        <v>0.25727519999999998</v>
      </c>
    </row>
    <row r="103" spans="14:25" x14ac:dyDescent="0.35">
      <c r="N103" s="20">
        <v>100</v>
      </c>
      <c r="O103" s="147">
        <v>45261</v>
      </c>
      <c r="P103" s="20" t="s">
        <v>49</v>
      </c>
      <c r="Q103" s="20">
        <v>24675</v>
      </c>
      <c r="R103" s="20" t="s">
        <v>89</v>
      </c>
      <c r="S103" s="20" t="s">
        <v>71</v>
      </c>
      <c r="T103" s="20">
        <v>434</v>
      </c>
      <c r="U103" s="20" t="s">
        <v>113</v>
      </c>
      <c r="V103" s="149">
        <f t="shared" si="7"/>
        <v>0.13019999999999998</v>
      </c>
      <c r="W103" s="20"/>
      <c r="X103" s="20">
        <f>[3]REFERENCE!$E$37</f>
        <v>0.59279999999999999</v>
      </c>
      <c r="Y103" s="21">
        <f t="shared" si="8"/>
        <v>0.25727519999999998</v>
      </c>
    </row>
    <row r="104" spans="14:25" x14ac:dyDescent="0.35">
      <c r="N104" s="20">
        <v>101</v>
      </c>
      <c r="O104" s="147">
        <v>45268</v>
      </c>
      <c r="P104" s="20" t="s">
        <v>49</v>
      </c>
      <c r="Q104" s="20">
        <v>25000</v>
      </c>
      <c r="R104" s="20" t="s">
        <v>89</v>
      </c>
      <c r="S104" s="20" t="s">
        <v>71</v>
      </c>
      <c r="T104" s="20">
        <v>434</v>
      </c>
      <c r="U104" s="20" t="s">
        <v>113</v>
      </c>
      <c r="V104" s="149">
        <f t="shared" si="7"/>
        <v>0.13019999999999998</v>
      </c>
      <c r="W104" s="20"/>
      <c r="X104" s="20">
        <f>[3]REFERENCE!$E$37</f>
        <v>0.59279999999999999</v>
      </c>
      <c r="Y104" s="21">
        <f t="shared" si="8"/>
        <v>0.25727519999999998</v>
      </c>
    </row>
    <row r="105" spans="14:25" x14ac:dyDescent="0.35">
      <c r="N105" s="20">
        <v>102</v>
      </c>
      <c r="O105" s="147">
        <v>45268</v>
      </c>
      <c r="P105" s="20" t="s">
        <v>54</v>
      </c>
      <c r="Q105" s="20">
        <v>400</v>
      </c>
      <c r="R105" s="20" t="s">
        <v>89</v>
      </c>
      <c r="S105" s="20" t="s">
        <v>71</v>
      </c>
      <c r="T105" s="20">
        <v>434</v>
      </c>
      <c r="U105" s="20" t="s">
        <v>113</v>
      </c>
      <c r="V105" s="149">
        <f t="shared" si="7"/>
        <v>0.13019999999999998</v>
      </c>
      <c r="W105" s="20"/>
      <c r="X105" s="20">
        <f>[3]REFERENCE!$E$37</f>
        <v>0.59279999999999999</v>
      </c>
      <c r="Y105" s="21">
        <f t="shared" si="8"/>
        <v>0.25727519999999998</v>
      </c>
    </row>
    <row r="106" spans="14:25" x14ac:dyDescent="0.35">
      <c r="N106" s="20">
        <v>103</v>
      </c>
      <c r="O106" s="147">
        <v>45276</v>
      </c>
      <c r="P106" s="20" t="s">
        <v>49</v>
      </c>
      <c r="Q106" s="20">
        <v>25000</v>
      </c>
      <c r="R106" s="20" t="s">
        <v>89</v>
      </c>
      <c r="S106" s="20" t="s">
        <v>71</v>
      </c>
      <c r="T106" s="20">
        <v>434</v>
      </c>
      <c r="U106" s="20" t="s">
        <v>113</v>
      </c>
      <c r="V106" s="149">
        <f t="shared" si="7"/>
        <v>0.13019999999999998</v>
      </c>
      <c r="W106" s="20"/>
      <c r="X106" s="20">
        <f>[3]REFERENCE!$E$37</f>
        <v>0.59279999999999999</v>
      </c>
      <c r="Y106" s="21">
        <f t="shared" si="8"/>
        <v>0.25727519999999998</v>
      </c>
    </row>
    <row r="107" spans="14:25" x14ac:dyDescent="0.35">
      <c r="N107" s="20">
        <v>104</v>
      </c>
      <c r="O107" s="147">
        <v>45302</v>
      </c>
      <c r="P107" s="20" t="s">
        <v>49</v>
      </c>
      <c r="Q107" s="20">
        <v>24300</v>
      </c>
      <c r="R107" s="20" t="s">
        <v>89</v>
      </c>
      <c r="S107" s="20" t="s">
        <v>71</v>
      </c>
      <c r="T107" s="20">
        <v>434</v>
      </c>
      <c r="U107" s="20" t="s">
        <v>113</v>
      </c>
      <c r="V107" s="149">
        <f t="shared" si="7"/>
        <v>0.13019999999999998</v>
      </c>
      <c r="W107" s="20"/>
      <c r="X107" s="20">
        <f>[3]REFERENCE!$E$37</f>
        <v>0.59279999999999999</v>
      </c>
      <c r="Y107" s="21">
        <f t="shared" si="8"/>
        <v>0.25727519999999998</v>
      </c>
    </row>
    <row r="108" spans="14:25" x14ac:dyDescent="0.35">
      <c r="N108" s="20">
        <v>105</v>
      </c>
      <c r="O108" s="147">
        <v>45304</v>
      </c>
      <c r="P108" s="20" t="s">
        <v>49</v>
      </c>
      <c r="Q108" s="20">
        <v>25000</v>
      </c>
      <c r="R108" s="20" t="s">
        <v>89</v>
      </c>
      <c r="S108" s="20" t="s">
        <v>71</v>
      </c>
      <c r="T108" s="20">
        <v>434</v>
      </c>
      <c r="U108" s="20" t="s">
        <v>113</v>
      </c>
      <c r="V108" s="149">
        <f t="shared" si="7"/>
        <v>0.13019999999999998</v>
      </c>
      <c r="W108" s="20"/>
      <c r="X108" s="20">
        <f>[3]REFERENCE!$E$37</f>
        <v>0.59279999999999999</v>
      </c>
      <c r="Y108" s="21">
        <f t="shared" si="8"/>
        <v>0.25727519999999998</v>
      </c>
    </row>
    <row r="109" spans="14:25" x14ac:dyDescent="0.35">
      <c r="N109" s="20">
        <v>106</v>
      </c>
      <c r="O109" s="147">
        <v>45317</v>
      </c>
      <c r="P109" s="20" t="s">
        <v>49</v>
      </c>
      <c r="Q109" s="20">
        <v>25000</v>
      </c>
      <c r="R109" s="20" t="s">
        <v>89</v>
      </c>
      <c r="S109" s="20" t="s">
        <v>71</v>
      </c>
      <c r="T109" s="20">
        <v>434</v>
      </c>
      <c r="U109" s="20" t="s">
        <v>113</v>
      </c>
      <c r="V109" s="149">
        <f t="shared" si="7"/>
        <v>0.13019999999999998</v>
      </c>
      <c r="W109" s="20"/>
      <c r="X109" s="20">
        <f>[3]REFERENCE!$E$37</f>
        <v>0.59279999999999999</v>
      </c>
      <c r="Y109" s="21">
        <f t="shared" si="8"/>
        <v>0.25727519999999998</v>
      </c>
    </row>
    <row r="110" spans="14:25" x14ac:dyDescent="0.35">
      <c r="N110" s="20">
        <v>107</v>
      </c>
      <c r="O110" s="147">
        <v>45321</v>
      </c>
      <c r="P110" s="20" t="s">
        <v>49</v>
      </c>
      <c r="Q110" s="20">
        <v>25000</v>
      </c>
      <c r="R110" s="20" t="s">
        <v>89</v>
      </c>
      <c r="S110" s="20" t="s">
        <v>71</v>
      </c>
      <c r="T110" s="20">
        <v>434</v>
      </c>
      <c r="U110" s="20" t="s">
        <v>113</v>
      </c>
      <c r="V110" s="149">
        <f t="shared" si="7"/>
        <v>0.13019999999999998</v>
      </c>
      <c r="W110" s="20"/>
      <c r="X110" s="20">
        <f>[3]REFERENCE!$E$37</f>
        <v>0.59279999999999999</v>
      </c>
      <c r="Y110" s="21">
        <f t="shared" si="8"/>
        <v>0.25727519999999998</v>
      </c>
    </row>
    <row r="111" spans="14:25" x14ac:dyDescent="0.35">
      <c r="N111" s="20">
        <v>108</v>
      </c>
      <c r="O111" s="147">
        <v>45321</v>
      </c>
      <c r="P111" s="20" t="s">
        <v>54</v>
      </c>
      <c r="Q111" s="20">
        <v>400</v>
      </c>
      <c r="R111" s="20" t="s">
        <v>89</v>
      </c>
      <c r="S111" s="20" t="s">
        <v>71</v>
      </c>
      <c r="T111" s="20">
        <v>434</v>
      </c>
      <c r="U111" s="20" t="s">
        <v>113</v>
      </c>
      <c r="V111" s="149">
        <f t="shared" si="7"/>
        <v>0.13019999999999998</v>
      </c>
      <c r="W111" s="20"/>
      <c r="X111" s="20">
        <f>[3]REFERENCE!$E$37</f>
        <v>0.59279999999999999</v>
      </c>
      <c r="Y111" s="21">
        <f t="shared" si="8"/>
        <v>0.25727519999999998</v>
      </c>
    </row>
    <row r="112" spans="14:25" x14ac:dyDescent="0.35">
      <c r="N112" s="20">
        <v>109</v>
      </c>
      <c r="O112" s="147">
        <v>45323</v>
      </c>
      <c r="P112" s="20" t="s">
        <v>49</v>
      </c>
      <c r="Q112" s="20">
        <v>25000</v>
      </c>
      <c r="R112" s="20" t="s">
        <v>89</v>
      </c>
      <c r="S112" s="20" t="s">
        <v>71</v>
      </c>
      <c r="T112" s="20">
        <v>434</v>
      </c>
      <c r="U112" s="20" t="s">
        <v>113</v>
      </c>
      <c r="V112" s="149">
        <f t="shared" si="7"/>
        <v>0.13019999999999998</v>
      </c>
      <c r="W112" s="20"/>
      <c r="X112" s="20">
        <f>[3]REFERENCE!$E$37</f>
        <v>0.59279999999999999</v>
      </c>
      <c r="Y112" s="21">
        <f t="shared" si="8"/>
        <v>0.25727519999999998</v>
      </c>
    </row>
    <row r="113" spans="14:25" x14ac:dyDescent="0.35">
      <c r="N113" s="20">
        <v>110</v>
      </c>
      <c r="O113" s="147">
        <v>45350</v>
      </c>
      <c r="P113" s="20" t="s">
        <v>49</v>
      </c>
      <c r="Q113" s="20">
        <v>25000</v>
      </c>
      <c r="R113" s="20" t="s">
        <v>89</v>
      </c>
      <c r="S113" s="20" t="s">
        <v>71</v>
      </c>
      <c r="T113" s="20">
        <v>434</v>
      </c>
      <c r="U113" s="20" t="s">
        <v>113</v>
      </c>
      <c r="V113" s="149">
        <f t="shared" si="7"/>
        <v>0.13019999999999998</v>
      </c>
      <c r="W113" s="20"/>
      <c r="X113" s="20">
        <f>[3]REFERENCE!$E$37</f>
        <v>0.59279999999999999</v>
      </c>
      <c r="Y113" s="21">
        <f t="shared" si="8"/>
        <v>0.25727519999999998</v>
      </c>
    </row>
    <row r="114" spans="14:25" x14ac:dyDescent="0.35">
      <c r="N114" s="20">
        <v>111</v>
      </c>
      <c r="O114" s="147">
        <v>45364</v>
      </c>
      <c r="P114" s="20" t="s">
        <v>49</v>
      </c>
      <c r="Q114" s="20">
        <v>25000</v>
      </c>
      <c r="R114" s="20" t="s">
        <v>89</v>
      </c>
      <c r="S114" s="20" t="s">
        <v>71</v>
      </c>
      <c r="T114" s="20">
        <v>434</v>
      </c>
      <c r="U114" s="20" t="s">
        <v>113</v>
      </c>
      <c r="V114" s="149">
        <f t="shared" si="7"/>
        <v>0.13019999999999998</v>
      </c>
      <c r="W114" s="20"/>
      <c r="X114" s="20">
        <f>[3]REFERENCE!$E$37</f>
        <v>0.59279999999999999</v>
      </c>
      <c r="Y114" s="21">
        <f t="shared" si="8"/>
        <v>0.25727519999999998</v>
      </c>
    </row>
    <row r="115" spans="14:25" x14ac:dyDescent="0.35">
      <c r="N115" s="20">
        <v>112</v>
      </c>
      <c r="O115" s="147">
        <v>45381</v>
      </c>
      <c r="P115" s="20" t="s">
        <v>49</v>
      </c>
      <c r="Q115" s="20">
        <v>25000</v>
      </c>
      <c r="R115" s="20" t="s">
        <v>89</v>
      </c>
      <c r="S115" s="20" t="s">
        <v>71</v>
      </c>
      <c r="T115" s="20">
        <v>434</v>
      </c>
      <c r="U115" s="20" t="s">
        <v>113</v>
      </c>
      <c r="V115" s="149">
        <f t="shared" si="7"/>
        <v>0.13019999999999998</v>
      </c>
      <c r="W115" s="20"/>
      <c r="X115" s="20">
        <f>[3]REFERENCE!$E$37</f>
        <v>0.59279999999999999</v>
      </c>
      <c r="Y115" s="21">
        <f t="shared" si="8"/>
        <v>0.25727519999999998</v>
      </c>
    </row>
    <row r="116" spans="14:25" x14ac:dyDescent="0.35">
      <c r="N116" s="20">
        <v>113</v>
      </c>
      <c r="O116" s="147">
        <v>45414</v>
      </c>
      <c r="P116" s="20" t="s">
        <v>54</v>
      </c>
      <c r="Q116" s="20">
        <v>80</v>
      </c>
      <c r="R116" s="20" t="s">
        <v>89</v>
      </c>
      <c r="S116" s="20" t="s">
        <v>71</v>
      </c>
      <c r="T116" s="20">
        <v>434</v>
      </c>
      <c r="U116" s="20" t="s">
        <v>113</v>
      </c>
      <c r="V116" s="149">
        <f t="shared" si="7"/>
        <v>0.13019999999999998</v>
      </c>
      <c r="W116" s="20"/>
      <c r="X116" s="20">
        <f>[3]REFERENCE!$E$37</f>
        <v>0.59279999999999999</v>
      </c>
      <c r="Y116" s="21">
        <f t="shared" si="8"/>
        <v>0.25727519999999998</v>
      </c>
    </row>
    <row r="117" spans="14:25" x14ac:dyDescent="0.35">
      <c r="N117" s="20">
        <v>114</v>
      </c>
      <c r="O117" s="147">
        <v>45418</v>
      </c>
      <c r="P117" s="20" t="s">
        <v>49</v>
      </c>
      <c r="Q117" s="20">
        <v>25000</v>
      </c>
      <c r="R117" s="20" t="s">
        <v>89</v>
      </c>
      <c r="S117" s="20" t="s">
        <v>71</v>
      </c>
      <c r="T117" s="20">
        <v>434</v>
      </c>
      <c r="U117" s="20" t="s">
        <v>113</v>
      </c>
      <c r="V117" s="149">
        <f t="shared" si="7"/>
        <v>0.13019999999999998</v>
      </c>
      <c r="W117" s="20"/>
      <c r="X117" s="20">
        <f>[3]REFERENCE!$E$37</f>
        <v>0.59279999999999999</v>
      </c>
      <c r="Y117" s="21">
        <f t="shared" si="8"/>
        <v>0.25727519999999998</v>
      </c>
    </row>
    <row r="118" spans="14:25" x14ac:dyDescent="0.35">
      <c r="N118" s="20">
        <v>115</v>
      </c>
      <c r="O118" s="147">
        <v>45418</v>
      </c>
      <c r="P118" s="20" t="s">
        <v>54</v>
      </c>
      <c r="Q118" s="20">
        <v>400</v>
      </c>
      <c r="R118" s="20" t="s">
        <v>89</v>
      </c>
      <c r="S118" s="20" t="s">
        <v>71</v>
      </c>
      <c r="T118" s="20">
        <v>434</v>
      </c>
      <c r="U118" s="20" t="s">
        <v>113</v>
      </c>
      <c r="V118" s="149">
        <f t="shared" si="7"/>
        <v>0.13019999999999998</v>
      </c>
      <c r="W118" s="20"/>
      <c r="X118" s="20">
        <f>[3]REFERENCE!$E$37</f>
        <v>0.59279999999999999</v>
      </c>
      <c r="Y118" s="21">
        <f t="shared" si="8"/>
        <v>0.25727519999999998</v>
      </c>
    </row>
    <row r="119" spans="14:25" x14ac:dyDescent="0.35">
      <c r="N119" s="20">
        <v>116</v>
      </c>
      <c r="O119" s="147">
        <v>45427</v>
      </c>
      <c r="P119" s="20" t="s">
        <v>54</v>
      </c>
      <c r="Q119" s="20">
        <v>180</v>
      </c>
      <c r="R119" s="20" t="s">
        <v>89</v>
      </c>
      <c r="S119" s="20" t="s">
        <v>71</v>
      </c>
      <c r="T119" s="20">
        <v>434</v>
      </c>
      <c r="U119" s="20" t="s">
        <v>113</v>
      </c>
      <c r="V119" s="149">
        <f t="shared" si="7"/>
        <v>0.13019999999999998</v>
      </c>
      <c r="W119" s="20"/>
      <c r="X119" s="20">
        <f>[3]REFERENCE!$E$37</f>
        <v>0.59279999999999999</v>
      </c>
      <c r="Y119" s="21">
        <f t="shared" si="8"/>
        <v>0.25727519999999998</v>
      </c>
    </row>
    <row r="120" spans="14:25" x14ac:dyDescent="0.35">
      <c r="N120" s="20">
        <v>117</v>
      </c>
      <c r="O120" s="147">
        <v>45434</v>
      </c>
      <c r="P120" s="20" t="s">
        <v>54</v>
      </c>
      <c r="Q120" s="20">
        <v>140</v>
      </c>
      <c r="R120" s="20" t="s">
        <v>89</v>
      </c>
      <c r="S120" s="20" t="s">
        <v>71</v>
      </c>
      <c r="T120" s="20">
        <v>434</v>
      </c>
      <c r="U120" s="20" t="s">
        <v>113</v>
      </c>
      <c r="V120" s="149">
        <f t="shared" si="7"/>
        <v>0.13019999999999998</v>
      </c>
      <c r="W120" s="20"/>
      <c r="X120" s="20">
        <f>[3]REFERENCE!$E$37</f>
        <v>0.59279999999999999</v>
      </c>
      <c r="Y120" s="21">
        <f t="shared" si="8"/>
        <v>0.25727519999999998</v>
      </c>
    </row>
    <row r="121" spans="14:25" x14ac:dyDescent="0.35">
      <c r="N121" s="20">
        <v>118</v>
      </c>
      <c r="O121" s="147">
        <v>45442</v>
      </c>
      <c r="P121" s="20" t="s">
        <v>54</v>
      </c>
      <c r="Q121" s="20">
        <v>300</v>
      </c>
      <c r="R121" s="20" t="s">
        <v>89</v>
      </c>
      <c r="S121" s="20" t="s">
        <v>71</v>
      </c>
      <c r="T121" s="20">
        <v>434</v>
      </c>
      <c r="U121" s="20" t="s">
        <v>113</v>
      </c>
      <c r="V121" s="149">
        <f t="shared" si="7"/>
        <v>0.13019999999999998</v>
      </c>
      <c r="W121" s="20"/>
      <c r="X121" s="20">
        <f>[3]REFERENCE!$E$37</f>
        <v>0.59279999999999999</v>
      </c>
      <c r="Y121" s="21">
        <f t="shared" si="8"/>
        <v>0.25727519999999998</v>
      </c>
    </row>
    <row r="122" spans="14:25" x14ac:dyDescent="0.35">
      <c r="N122" s="20">
        <v>119</v>
      </c>
      <c r="O122" s="147">
        <v>45471</v>
      </c>
      <c r="P122" s="20" t="s">
        <v>49</v>
      </c>
      <c r="Q122" s="20">
        <v>24600</v>
      </c>
      <c r="R122" s="20" t="s">
        <v>89</v>
      </c>
      <c r="S122" s="20" t="s">
        <v>71</v>
      </c>
      <c r="T122" s="20">
        <v>434</v>
      </c>
      <c r="U122" s="20" t="s">
        <v>113</v>
      </c>
      <c r="V122" s="149">
        <f t="shared" si="7"/>
        <v>0.13019999999999998</v>
      </c>
      <c r="W122" s="20"/>
      <c r="X122" s="20">
        <f>[3]REFERENCE!$E$37</f>
        <v>0.59279999999999999</v>
      </c>
      <c r="Y122" s="21">
        <f t="shared" si="8"/>
        <v>0.25727519999999998</v>
      </c>
    </row>
    <row r="123" spans="14:25" x14ac:dyDescent="0.35">
      <c r="N123" s="20">
        <v>120</v>
      </c>
      <c r="O123" s="147">
        <v>45471</v>
      </c>
      <c r="P123" s="20" t="s">
        <v>54</v>
      </c>
      <c r="Q123" s="20">
        <v>800</v>
      </c>
      <c r="R123" s="20" t="s">
        <v>89</v>
      </c>
      <c r="S123" s="20" t="s">
        <v>71</v>
      </c>
      <c r="T123" s="20">
        <v>434</v>
      </c>
      <c r="U123" s="20" t="s">
        <v>113</v>
      </c>
      <c r="V123" s="149">
        <f t="shared" si="7"/>
        <v>0.13019999999999998</v>
      </c>
      <c r="W123" s="20"/>
      <c r="X123" s="20">
        <f>[3]REFERENCE!$E$37</f>
        <v>0.59279999999999999</v>
      </c>
      <c r="Y123" s="21">
        <f t="shared" si="8"/>
        <v>0.25727519999999998</v>
      </c>
    </row>
    <row r="124" spans="14:25" x14ac:dyDescent="0.35">
      <c r="N124" s="20">
        <v>121</v>
      </c>
      <c r="O124" s="147">
        <v>45471</v>
      </c>
      <c r="P124" s="20" t="s">
        <v>49</v>
      </c>
      <c r="Q124" s="20">
        <v>21000</v>
      </c>
      <c r="R124" s="20" t="s">
        <v>89</v>
      </c>
      <c r="S124" s="20" t="s">
        <v>71</v>
      </c>
      <c r="T124" s="20">
        <v>434</v>
      </c>
      <c r="U124" s="20" t="s">
        <v>113</v>
      </c>
      <c r="V124" s="149">
        <f t="shared" si="7"/>
        <v>0.13019999999999998</v>
      </c>
      <c r="W124" s="20"/>
      <c r="X124" s="20">
        <f>[3]REFERENCE!$E$37</f>
        <v>0.59279999999999999</v>
      </c>
      <c r="Y124" s="21">
        <f t="shared" si="8"/>
        <v>0.25727519999999998</v>
      </c>
    </row>
    <row r="125" spans="14:25" x14ac:dyDescent="0.35">
      <c r="N125" s="20">
        <v>122</v>
      </c>
      <c r="O125" s="147">
        <v>45449</v>
      </c>
      <c r="P125" s="20" t="s">
        <v>54</v>
      </c>
      <c r="Q125" s="20">
        <v>1200</v>
      </c>
      <c r="R125" s="20" t="s">
        <v>89</v>
      </c>
      <c r="S125" s="20" t="s">
        <v>71</v>
      </c>
      <c r="T125" s="20">
        <v>434</v>
      </c>
      <c r="U125" s="20" t="s">
        <v>113</v>
      </c>
      <c r="V125" s="149">
        <f t="shared" si="7"/>
        <v>0.13019999999999998</v>
      </c>
      <c r="W125" s="20"/>
      <c r="X125" s="20">
        <f>[3]REFERENCE!$E$37</f>
        <v>0.59279999999999999</v>
      </c>
      <c r="Y125" s="21">
        <f t="shared" si="8"/>
        <v>0.25727519999999998</v>
      </c>
    </row>
    <row r="126" spans="14:25" x14ac:dyDescent="0.35">
      <c r="N126" s="20"/>
      <c r="O126" s="20"/>
      <c r="P126" s="20"/>
      <c r="Q126" s="20"/>
      <c r="R126" s="20"/>
      <c r="S126" s="20"/>
      <c r="T126" s="163">
        <f>SUM(T4:T125)</f>
        <v>30863</v>
      </c>
      <c r="U126" s="20"/>
      <c r="V126" s="20"/>
      <c r="W126" s="20"/>
      <c r="X126" s="20"/>
      <c r="Y126" s="163">
        <f>SUM(Y4:Y125)</f>
        <v>18.295586400000012</v>
      </c>
    </row>
  </sheetData>
  <mergeCells count="8">
    <mergeCell ref="AY49:BF49"/>
    <mergeCell ref="AC74:AJ74"/>
    <mergeCell ref="A1:BG1"/>
    <mergeCell ref="A2:L2"/>
    <mergeCell ref="N2:Y2"/>
    <mergeCell ref="AB2:AK2"/>
    <mergeCell ref="AM2:AW2"/>
    <mergeCell ref="AY2:B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DA02-4EC3-42F4-8864-321C0CE512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2021-2023</vt:lpstr>
      <vt:lpstr>2020-2022</vt:lpstr>
      <vt:lpstr>2022-2024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Lakshmikantha, Manoj</dc:creator>
  <cp:lastModifiedBy>Lakshmikantha, Manoj</cp:lastModifiedBy>
  <dcterms:created xsi:type="dcterms:W3CDTF">2026-06-11T06:06:36Z</dcterms:created>
  <dcterms:modified xsi:type="dcterms:W3CDTF">2026-08-04T05:10:57Z</dcterms:modified>
</cp:coreProperties>
</file>